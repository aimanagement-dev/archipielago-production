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Nov_2025" sheetId="2" r:id="rId5"/>
    <sheet state="visible" name="Dec_2025" sheetId="3" r:id="rId6"/>
    <sheet state="visible" name="Jan_2026" sheetId="4" r:id="rId7"/>
    <sheet state="visible" name="Feb_2026" sheetId="5" r:id="rId8"/>
    <sheet state="visible" name="Mar_2026" sheetId="6" r:id="rId9"/>
    <sheet state="visible" name="Apr_2026" sheetId="7" r:id="rId10"/>
    <sheet state="visible" name="May_2026" sheetId="8" r:id="rId11"/>
    <sheet state="visible" name="Jun_2026" sheetId="9" r:id="rId12"/>
    <sheet state="visible" name="Jul_2026" sheetId="10" r:id="rId13"/>
    <sheet state="visible" name="Aug_2026" sheetId="11" r:id="rId14"/>
  </sheets>
  <definedNames>
    <definedName hidden="1" localSheetId="1" name="_xlnm._FilterDatabase">Nov_2025!$A$25:$I$31</definedName>
    <definedName hidden="1" localSheetId="2" name="_xlnm._FilterDatabase">Dec_2025!$A$27:$I$50</definedName>
    <definedName hidden="1" localSheetId="3" name="_xlnm._FilterDatabase">Jan_2026!$A$25:$I$25</definedName>
    <definedName hidden="1" localSheetId="4" name="_xlnm._FilterDatabase">Feb_2026!$A$25:$I$25</definedName>
    <definedName hidden="1" localSheetId="5" name="_xlnm._FilterDatabase">Mar_2026!$A$29:$I$29</definedName>
    <definedName hidden="1" localSheetId="6" name="_xlnm._FilterDatabase">Apr_2026!$A$25:$I$25</definedName>
    <definedName hidden="1" localSheetId="7" name="_xlnm._FilterDatabase">May_2026!$A$25:$I$25</definedName>
    <definedName hidden="1" localSheetId="8" name="_xlnm._FilterDatabase">Jun_2026!$A$25:$I$25</definedName>
    <definedName hidden="1" localSheetId="9" name="_xlnm._FilterDatabase">Jul_2026!$A$25:$I$25</definedName>
    <definedName hidden="1" localSheetId="10" name="_xlnm._FilterDatabase">Aug_2026!$A$29:$I$29</definedName>
  </definedNames>
  <calcPr/>
</workbook>
</file>

<file path=xl/sharedStrings.xml><?xml version="1.0" encoding="utf-8"?>
<sst xmlns="http://schemas.openxmlformats.org/spreadsheetml/2006/main" count="536" uniqueCount="117">
  <si>
    <t>ARCHIPIÉLAGO - AI SUBSCRIPTION CONTROL</t>
  </si>
  <si>
    <t>SUSCRIPCIONES ACTIVAS</t>
  </si>
  <si>
    <t>Plataforma</t>
  </si>
  <si>
    <t>Categoría</t>
  </si>
  <si>
    <t>Día Renovación</t>
  </si>
  <si>
    <t>Costo Mensual Fijo</t>
  </si>
  <si>
    <t>Moneda</t>
  </si>
  <si>
    <t>Tarjeta</t>
  </si>
  <si>
    <t>Estado</t>
  </si>
  <si>
    <t>Correo</t>
  </si>
  <si>
    <t>Notas</t>
  </si>
  <si>
    <t>CLAUDE</t>
  </si>
  <si>
    <t>LLMS</t>
  </si>
  <si>
    <t>USD</t>
  </si>
  <si>
    <t>VISA 4237</t>
  </si>
  <si>
    <t>Activa</t>
  </si>
  <si>
    <t>ai.lantica@lanticastudios.com</t>
  </si>
  <si>
    <t>TOPAZ VIDEO</t>
  </si>
  <si>
    <t>Ed. Img/Video</t>
  </si>
  <si>
    <t>VISA 4447</t>
  </si>
  <si>
    <t>ai.lantica@lanticastudios.com ia.gen@archipielagofilm.com</t>
  </si>
  <si>
    <t>MIDJOURNEY</t>
  </si>
  <si>
    <t>Gen. Imágenes</t>
  </si>
  <si>
    <t>arch.midjourney@gmail.com</t>
  </si>
  <si>
    <t>WEAVY</t>
  </si>
  <si>
    <t>Gen. Img/Video</t>
  </si>
  <si>
    <t>ai.management@archipielagofilm.com</t>
  </si>
  <si>
    <t>CAPCUT</t>
  </si>
  <si>
    <t>*Falta la factura en el Drive, aparece como PIPO</t>
  </si>
  <si>
    <t>FLOW/VEO/GOOGLE ULTRA</t>
  </si>
  <si>
    <t>Gen. Videos</t>
  </si>
  <si>
    <t>*Pago hecho por José Luis</t>
  </si>
  <si>
    <t>FILESTAGE</t>
  </si>
  <si>
    <t>Project Manag.</t>
  </si>
  <si>
    <t>ENHARCOR</t>
  </si>
  <si>
    <t>Ed. Img</t>
  </si>
  <si>
    <t>Cancelada</t>
  </si>
  <si>
    <t>CHATGPT</t>
  </si>
  <si>
    <r>
      <rPr>
        <rFont val="Calibri"/>
        <color rgb="FF000000"/>
      </rPr>
      <t>ia.gen@archipielagofilm.com</t>
    </r>
  </si>
  <si>
    <r>
      <rPr>
        <rFont val="Calibri"/>
        <color theme="1"/>
        <sz val="11.0"/>
      </rPr>
      <t xml:space="preserve">*Pago hecho por José Luis | </t>
    </r>
    <r>
      <rPr>
        <rFont val="Calibri"/>
        <b/>
        <color theme="1"/>
        <sz val="11.0"/>
      </rPr>
      <t>Pedido de cancelación 17/12/25</t>
    </r>
  </si>
  <si>
    <t>DORLABS</t>
  </si>
  <si>
    <r>
      <rPr>
        <rFont val="Calibri"/>
        <color rgb="FF000000"/>
      </rPr>
      <t>ia.gen@archipielagofilm.com</t>
    </r>
  </si>
  <si>
    <t>GODADDY</t>
  </si>
  <si>
    <t>Dominio</t>
  </si>
  <si>
    <t>RESUMEN MENSUAL</t>
  </si>
  <si>
    <t>Mes</t>
  </si>
  <si>
    <t>Fixed</t>
  </si>
  <si>
    <t>Extras</t>
  </si>
  <si>
    <t>One-off</t>
  </si>
  <si>
    <t>Total</t>
  </si>
  <si>
    <t>November 2025</t>
  </si>
  <si>
    <t>December 2025</t>
  </si>
  <si>
    <t>January 2026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</si>
  <si>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</si>
  <si>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</si>
  <si>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</si>
  <si>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</si>
  <si>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</si>
  <si>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</si>
  <si>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</si>
  <si>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TOTALES PROYECTO</t>
  </si>
  <si>
    <t>Total Proyecto:</t>
  </si>
  <si>
    <t>Promedio Mensual:</t>
  </si>
  <si>
    <t>LUN</t>
  </si>
  <si>
    <t>MAR</t>
  </si>
  <si>
    <t>MIÉ</t>
  </si>
  <si>
    <t>JUE</t>
  </si>
  <si>
    <t>VIE</t>
  </si>
  <si>
    <t>SÁB</t>
  </si>
  <si>
    <t>DOM</t>
  </si>
  <si>
    <t>RESUMEN</t>
  </si>
  <si>
    <t>Fixed:</t>
  </si>
  <si>
    <t>Extras:</t>
  </si>
  <si>
    <t>One-off:</t>
  </si>
  <si>
    <t>TOTAL:</t>
  </si>
  <si>
    <t>TOPAZ VIDEO $33.0</t>
  </si>
  <si>
    <t>MIDJOURNEY $60.0</t>
  </si>
  <si>
    <t>ENHARCOR $24.0</t>
  </si>
  <si>
    <t>WEAVY $120.0</t>
  </si>
  <si>
    <t>FILESTAGE $369.0</t>
  </si>
  <si>
    <t>REGISTRO DE GASTOS</t>
  </si>
  <si>
    <t>Día</t>
  </si>
  <si>
    <t>Tipo</t>
  </si>
  <si>
    <t>Monto</t>
  </si>
  <si>
    <t>Receipt</t>
  </si>
  <si>
    <t>Usuarios</t>
  </si>
  <si>
    <t>invoice</t>
  </si>
  <si>
    <t>N/A</t>
  </si>
  <si>
    <t>Renovación mensual</t>
  </si>
  <si>
    <t>Suscripción inicial</t>
  </si>
  <si>
    <t>receipt</t>
  </si>
  <si>
    <t>factura</t>
  </si>
  <si>
    <t>Extra</t>
  </si>
  <si>
    <t>Modelo LLM</t>
  </si>
  <si>
    <t>Créditos extra</t>
  </si>
  <si>
    <t>DECEMBER 2025</t>
  </si>
  <si>
    <t>CAPCUT $9.99</t>
  </si>
  <si>
    <t>CLAUDE EXTRA $5</t>
  </si>
  <si>
    <t>WEAVY EXTRA $50</t>
  </si>
  <si>
    <t>CLAUDE EXTRA $15</t>
  </si>
  <si>
    <t>CLAUDE $20.0</t>
  </si>
  <si>
    <t>CLAUDE EXTRA $10</t>
  </si>
  <si>
    <t>FAL $20.0</t>
  </si>
  <si>
    <t>DORLABS $5.60</t>
  </si>
  <si>
    <t>Ed. Video</t>
  </si>
  <si>
    <t>ia.gen@archipielagofilm.com</t>
  </si>
  <si>
    <t>FAL</t>
  </si>
  <si>
    <t>Compra de créditos</t>
  </si>
  <si>
    <t>TOPAZ</t>
  </si>
  <si>
    <t>Upscale</t>
  </si>
  <si>
    <t>Cancelado</t>
  </si>
  <si>
    <t>Pedida de cancelación 17 dic</t>
  </si>
  <si>
    <t>Prueba</t>
  </si>
  <si>
    <t>Diciembre gratis, empieza a cobrar en enero</t>
  </si>
  <si>
    <t>FLOW</t>
  </si>
  <si>
    <t>FEBRUARY 2026</t>
  </si>
  <si>
    <t>Usuario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</si>
</sst>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.00"/>
    <numFmt numFmtId="165" formatCode="mmmm yyyy"/>
  </numFmts>
  <fonts count="21">
    <font>
      <sz val="11.0"/>
      <color theme="1"/>
      <name val="Calibri"/>
      <scheme val="minor"/>
    </font>
    <font>
      <b/>
      <sz val="16.0"/>
      <color rgb="FF1ABC9C"/>
      <name val="Cambria"/>
    </font>
    <font>
      <b/>
      <sz val="12.0"/>
      <color rgb="FFFFFFFF"/>
      <name val="Cambria"/>
    </font>
    <font/>
    <font>
      <b/>
      <sz val="11.0"/>
      <color rgb="FFFFFFFF"/>
      <name val="Cambria"/>
    </font>
    <font>
      <sz val="11.0"/>
      <color theme="1"/>
      <name val="Calibri"/>
    </font>
    <font>
      <color theme="1"/>
      <name val="Calibri"/>
    </font>
    <font>
      <color rgb="FF000000"/>
      <name val="Calibri"/>
    </font>
    <font>
      <b/>
      <sz val="11.0"/>
      <color theme="1"/>
      <name val="Cambria"/>
    </font>
    <font>
      <color theme="1"/>
      <name val="Calibri"/>
      <scheme val="minor"/>
    </font>
    <font>
      <b/>
      <sz val="14.0"/>
      <color rgb="FF1ABC9C"/>
      <name val="Cambria"/>
    </font>
    <font>
      <b/>
      <sz val="24.0"/>
      <color rgb="FF1ABC9C"/>
      <name val="Cambria"/>
    </font>
    <font>
      <b/>
      <sz val="10.0"/>
      <color theme="1"/>
      <name val="Cambria"/>
    </font>
    <font>
      <b/>
      <color rgb="FFFFFFFF"/>
      <name val="Cambria"/>
    </font>
    <font>
      <b/>
      <sz val="10.0"/>
      <color rgb="FFFFFFFF"/>
      <name val="Cambria"/>
    </font>
    <font>
      <b/>
      <sz val="12.0"/>
      <color rgb="FF2C3E50"/>
      <name val="Cambria"/>
    </font>
    <font>
      <b/>
      <sz val="12.0"/>
      <color theme="1"/>
      <name val="Cambria"/>
    </font>
    <font>
      <sz val="9.0"/>
      <color rgb="FF34495E"/>
      <name val="Cambria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rgb="FF1F1F1F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ABC9C"/>
        <bgColor rgb="FF1ABC9C"/>
      </patternFill>
    </fill>
    <fill>
      <patternFill patternType="solid">
        <fgColor rgb="FF2C3E50"/>
        <bgColor rgb="FF2C3E50"/>
      </patternFill>
    </fill>
    <fill>
      <patternFill patternType="solid">
        <fgColor rgb="FFFFFFFF"/>
        <bgColor rgb="FFFFFFFF"/>
      </patternFill>
    </fill>
    <fill>
      <patternFill patternType="solid">
        <fgColor rgb="FF34495E"/>
        <bgColor rgb="FF34495E"/>
      </patternFill>
    </fill>
    <fill>
      <patternFill patternType="solid">
        <fgColor rgb="FFFAFAFA"/>
        <bgColor rgb="FFFAFAFA"/>
      </patternFill>
    </fill>
    <fill>
      <patternFill patternType="solid">
        <fgColor rgb="FFF5F5F5"/>
        <bgColor rgb="FFF5F5F5"/>
      </patternFill>
    </fill>
    <fill>
      <patternFill patternType="solid">
        <fgColor rgb="FFECF0F1"/>
        <bgColor rgb="FFECF0F1"/>
      </patternFill>
    </fill>
    <fill>
      <patternFill patternType="solid">
        <fgColor rgb="FFD4E6F1"/>
        <bgColor rgb="FFD4E6F1"/>
      </patternFill>
    </fill>
    <fill>
      <patternFill patternType="solid">
        <fgColor rgb="FFFDEBD0"/>
        <bgColor rgb="FFFDEBD0"/>
      </patternFill>
    </fill>
    <fill>
      <patternFill patternType="solid">
        <fgColor rgb="FFFCF3CF"/>
        <bgColor rgb="FFFCF3CF"/>
      </patternFill>
    </fill>
    <fill>
      <patternFill patternType="solid">
        <fgColor rgb="FFF3F3F3"/>
        <bgColor rgb="FFF3F3F3"/>
      </patternFill>
    </fill>
    <fill>
      <patternFill patternType="solid">
        <fgColor rgb="FFD0ECE7"/>
        <bgColor rgb="FFD0ECE7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BDC3C7"/>
      </left>
      <right style="thin">
        <color rgb="FFBDC3C7"/>
      </right>
      <top style="thin">
        <color rgb="FFBDC3C7"/>
      </top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2" fillId="0" fontId="3" numFmtId="0" xfId="0" applyBorder="1" applyFont="1"/>
    <xf borderId="3" fillId="0" fontId="3" numFmtId="0" xfId="0" applyBorder="1" applyFont="1"/>
    <xf borderId="0" fillId="2" fontId="2" numFmtId="0" xfId="0" applyAlignment="1" applyFont="1">
      <alignment shrinkToFit="0" vertical="bottom" wrapText="0"/>
    </xf>
    <xf borderId="4" fillId="3" fontId="4" numFmtId="0" xfId="0" applyAlignment="1" applyBorder="1" applyFill="1" applyFont="1">
      <alignment horizontal="center" shrinkToFit="0" vertical="center" wrapText="0"/>
    </xf>
    <xf borderId="4" fillId="3" fontId="4" numFmtId="0" xfId="0" applyAlignment="1" applyBorder="1" applyFont="1">
      <alignment horizontal="center" readingOrder="0" shrinkToFit="0" vertical="center" wrapText="0"/>
    </xf>
    <xf borderId="0" fillId="3" fontId="4" numFmtId="0" xfId="0" applyAlignment="1" applyFont="1">
      <alignment horizontal="center" readingOrder="0" shrinkToFit="0" vertical="center" wrapText="0"/>
    </xf>
    <xf borderId="5" fillId="0" fontId="5" numFmtId="0" xfId="0" applyAlignment="1" applyBorder="1" applyFont="1">
      <alignment readingOrder="0" shrinkToFit="0" vertical="center" wrapText="0"/>
    </xf>
    <xf borderId="5" fillId="0" fontId="5" numFmtId="0" xfId="0" applyAlignment="1" applyBorder="1" applyFont="1">
      <alignment horizontal="center" readingOrder="0" shrinkToFit="0" vertical="center" wrapText="0"/>
    </xf>
    <xf borderId="5" fillId="0" fontId="5" numFmtId="164" xfId="0" applyAlignment="1" applyBorder="1" applyFont="1" applyNumberFormat="1">
      <alignment horizontal="center" readingOrder="0" shrinkToFit="0" vertical="center" wrapText="0"/>
    </xf>
    <xf borderId="5" fillId="0" fontId="5" numFmtId="0" xfId="0" applyAlignment="1" applyBorder="1" applyFont="1">
      <alignment shrinkToFit="0" vertical="center" wrapText="0"/>
    </xf>
    <xf borderId="5" fillId="0" fontId="5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horizontal="center" shrinkToFit="0" vertical="center" wrapText="0"/>
    </xf>
    <xf borderId="5" fillId="0" fontId="5" numFmtId="164" xfId="0" applyAlignment="1" applyBorder="1" applyFont="1" applyNumberFormat="1">
      <alignment horizontal="center" shrinkToFit="0" vertical="center" wrapText="0"/>
    </xf>
    <xf borderId="5" fillId="0" fontId="6" numFmtId="0" xfId="0" applyAlignment="1" applyBorder="1" applyFont="1">
      <alignment readingOrder="0" vertical="center"/>
    </xf>
    <xf borderId="5" fillId="4" fontId="7" numFmtId="0" xfId="0" applyAlignment="1" applyBorder="1" applyFill="1" applyFont="1">
      <alignment readingOrder="0"/>
    </xf>
    <xf borderId="6" fillId="3" fontId="4" numFmtId="0" xfId="0" applyAlignment="1" applyBorder="1" applyFont="1">
      <alignment horizontal="center" shrinkToFit="0" vertical="center" wrapText="0"/>
    </xf>
    <xf borderId="6" fillId="3" fontId="4" numFmtId="0" xfId="0" applyAlignment="1" applyBorder="1" applyFont="1">
      <alignment horizontal="center" readingOrder="0" shrinkToFit="0" vertical="center" wrapText="0"/>
    </xf>
    <xf borderId="6" fillId="0" fontId="5" numFmtId="0" xfId="0" applyAlignment="1" applyBorder="1" applyFont="1">
      <alignment shrinkToFit="0" vertical="bottom" wrapText="0"/>
    </xf>
    <xf borderId="6" fillId="0" fontId="5" numFmtId="164" xfId="0" applyAlignment="1" applyBorder="1" applyFont="1" applyNumberFormat="1">
      <alignment shrinkToFit="0" vertical="bottom" wrapText="0"/>
    </xf>
    <xf borderId="6" fillId="0" fontId="8" numFmtId="164" xfId="0" applyAlignment="1" applyBorder="1" applyFont="1" applyNumberFormat="1">
      <alignment shrinkToFit="0" vertical="bottom" wrapText="0"/>
    </xf>
    <xf borderId="1" fillId="3" fontId="2" numFmtId="0" xfId="0" applyAlignment="1" applyBorder="1" applyFont="1">
      <alignment shrinkToFit="0" vertical="bottom" wrapText="0"/>
    </xf>
    <xf borderId="0" fillId="0" fontId="9" numFmtId="0" xfId="0" applyFont="1"/>
    <xf borderId="0" fillId="0" fontId="10" numFmtId="164" xfId="0" applyAlignment="1" applyFont="1" applyNumberForma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11" numFmtId="0" xfId="0" applyAlignment="1" applyFont="1">
      <alignment horizontal="center" shrinkToFit="0" vertical="bottom" wrapText="0"/>
    </xf>
    <xf borderId="0" fillId="0" fontId="11" numFmtId="165" xfId="0" applyAlignment="1" applyFont="1" applyNumberFormat="1">
      <alignment horizontal="center" readingOrder="0" shrinkToFit="0" vertical="bottom" wrapText="0"/>
    </xf>
    <xf borderId="0" fillId="0" fontId="11" numFmtId="0" xfId="0" applyAlignment="1" applyFont="1">
      <alignment shrinkToFit="0" vertical="bottom" wrapText="0"/>
    </xf>
    <xf borderId="1" fillId="4" fontId="4" numFmtId="0" xfId="0" applyAlignment="1" applyBorder="1" applyFont="1">
      <alignment horizontal="center" shrinkToFit="0" vertical="center" wrapText="0"/>
    </xf>
    <xf borderId="6" fillId="4" fontId="12" numFmtId="0" xfId="0" applyAlignment="1" applyBorder="1" applyFont="1">
      <alignment horizontal="center" shrinkToFit="0" vertical="center" wrapText="0"/>
    </xf>
    <xf borderId="6" fillId="5" fontId="13" numFmtId="0" xfId="0" applyAlignment="1" applyBorder="1" applyFill="1" applyFont="1">
      <alignment horizontal="center"/>
    </xf>
    <xf borderId="0" fillId="4" fontId="14" numFmtId="0" xfId="0" applyAlignment="1" applyFont="1">
      <alignment horizontal="center" shrinkToFit="0" vertical="center" wrapText="0"/>
    </xf>
    <xf borderId="1" fillId="3" fontId="4" numFmtId="0" xfId="0" applyAlignment="1" applyBorder="1" applyFont="1">
      <alignment horizontal="center"/>
    </xf>
    <xf borderId="6" fillId="4" fontId="5" numFmtId="0" xfId="0" applyAlignment="1" applyBorder="1" applyFont="1">
      <alignment shrinkToFit="0" vertical="bottom" wrapText="0"/>
    </xf>
    <xf borderId="6" fillId="6" fontId="5" numFmtId="0" xfId="0" applyAlignment="1" applyBorder="1" applyFill="1" applyFont="1">
      <alignment vertical="bottom"/>
    </xf>
    <xf borderId="6" fillId="7" fontId="15" numFmtId="0" xfId="0" applyAlignment="1" applyBorder="1" applyFill="1" applyFont="1">
      <alignment horizontal="right" vertical="top"/>
    </xf>
    <xf borderId="0" fillId="4" fontId="15" numFmtId="0" xfId="0" applyAlignment="1" applyFont="1">
      <alignment horizontal="right" shrinkToFit="0" vertical="top" wrapText="0"/>
    </xf>
    <xf borderId="6" fillId="8" fontId="8" numFmtId="0" xfId="0" applyAlignment="1" applyBorder="1" applyFill="1" applyFont="1">
      <alignment readingOrder="0" vertical="bottom"/>
    </xf>
    <xf borderId="6" fillId="8" fontId="5" numFmtId="164" xfId="0" applyAlignment="1" applyBorder="1" applyFont="1" applyNumberFormat="1">
      <alignment horizontal="right" vertical="bottom"/>
    </xf>
    <xf borderId="6" fillId="7" fontId="5" numFmtId="0" xfId="0" applyAlignment="1" applyBorder="1" applyFont="1">
      <alignment vertical="top"/>
    </xf>
    <xf borderId="0" fillId="4" fontId="5" numFmtId="0" xfId="0" applyAlignment="1" applyFont="1">
      <alignment horizontal="left" shrinkToFit="0" vertical="top" wrapText="1"/>
    </xf>
    <xf borderId="6" fillId="8" fontId="8" numFmtId="0" xfId="0" applyAlignment="1" applyBorder="1" applyFont="1">
      <alignment vertical="bottom"/>
    </xf>
    <xf borderId="6" fillId="3" fontId="4" numFmtId="0" xfId="0" applyAlignment="1" applyBorder="1" applyFont="1">
      <alignment vertical="bottom"/>
    </xf>
    <xf borderId="6" fillId="3" fontId="4" numFmtId="164" xfId="0" applyAlignment="1" applyBorder="1" applyFont="1" applyNumberFormat="1">
      <alignment horizontal="right" vertical="bottom"/>
    </xf>
    <xf borderId="6" fillId="4" fontId="16" numFmtId="0" xfId="0" applyAlignment="1" applyBorder="1" applyFont="1">
      <alignment horizontal="right" shrinkToFit="0" vertical="top" wrapText="0"/>
    </xf>
    <xf borderId="6" fillId="0" fontId="15" numFmtId="0" xfId="0" applyAlignment="1" applyBorder="1" applyFont="1">
      <alignment horizontal="right" vertical="top"/>
    </xf>
    <xf borderId="6" fillId="4" fontId="5" numFmtId="0" xfId="0" applyAlignment="1" applyBorder="1" applyFont="1">
      <alignment horizontal="left" shrinkToFit="0" vertical="top" wrapText="1"/>
    </xf>
    <xf borderId="6" fillId="0" fontId="5" numFmtId="0" xfId="0" applyAlignment="1" applyBorder="1" applyFont="1">
      <alignment vertical="top"/>
    </xf>
    <xf borderId="6" fillId="6" fontId="17" numFmtId="0" xfId="0" applyAlignment="1" applyBorder="1" applyFont="1">
      <alignment shrinkToFit="0" vertical="top" wrapText="1"/>
    </xf>
    <xf borderId="0" fillId="4" fontId="17" numFmtId="0" xfId="0" applyAlignment="1" applyFont="1">
      <alignment horizontal="left" shrinkToFit="0" vertical="top" wrapText="1"/>
    </xf>
    <xf borderId="6" fillId="9" fontId="17" numFmtId="0" xfId="0" applyAlignment="1" applyBorder="1" applyFill="1" applyFont="1">
      <alignment readingOrder="0" shrinkToFit="0" vertical="top" wrapText="1"/>
    </xf>
    <xf borderId="6" fillId="10" fontId="17" numFmtId="0" xfId="0" applyAlignment="1" applyBorder="1" applyFill="1" applyFont="1">
      <alignment shrinkToFit="0" vertical="top" wrapText="1"/>
    </xf>
    <xf borderId="6" fillId="10" fontId="17" numFmtId="0" xfId="0" applyAlignment="1" applyBorder="1" applyFont="1">
      <alignment readingOrder="0" shrinkToFit="0" vertical="top" wrapText="1"/>
    </xf>
    <xf borderId="6" fillId="11" fontId="17" numFmtId="0" xfId="0" applyAlignment="1" applyBorder="1" applyFill="1" applyFont="1">
      <alignment shrinkToFit="0" vertical="top" wrapText="1"/>
    </xf>
    <xf borderId="1" fillId="2" fontId="4" numFmtId="0" xfId="0" applyAlignment="1" applyBorder="1" applyFont="1">
      <alignment shrinkToFit="0" vertical="bottom" wrapText="0"/>
    </xf>
    <xf borderId="0" fillId="2" fontId="4" numFmtId="0" xfId="0" applyAlignment="1" applyFont="1">
      <alignment shrinkToFit="0" vertical="bottom" wrapText="0"/>
    </xf>
    <xf borderId="6" fillId="0" fontId="5" numFmtId="0" xfId="0" applyAlignment="1" applyBorder="1" applyFont="1">
      <alignment shrinkToFit="0" vertical="center" wrapText="0"/>
    </xf>
    <xf borderId="6" fillId="0" fontId="5" numFmtId="164" xfId="0" applyAlignment="1" applyBorder="1" applyFont="1" applyNumberFormat="1">
      <alignment shrinkToFit="0" vertical="center" wrapText="0"/>
    </xf>
    <xf borderId="6" fillId="0" fontId="18" numFmtId="0" xfId="0" applyAlignment="1" applyBorder="1" applyFont="1">
      <alignment readingOrder="0" shrinkToFit="0" vertical="center" wrapText="0"/>
    </xf>
    <xf borderId="6" fillId="0" fontId="5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6" fillId="0" fontId="5" numFmtId="0" xfId="0" applyAlignment="1" applyBorder="1" applyFont="1">
      <alignment vertical="center"/>
    </xf>
    <xf borderId="0" fillId="0" fontId="9" numFmtId="0" xfId="0" applyAlignment="1" applyFont="1">
      <alignment readingOrder="0" shrinkToFit="0" wrapText="1"/>
    </xf>
    <xf borderId="6" fillId="0" fontId="5" numFmtId="0" xfId="0" applyAlignment="1" applyBorder="1" applyFont="1">
      <alignment vertical="center"/>
    </xf>
    <xf borderId="6" fillId="0" fontId="5" numFmtId="0" xfId="0" applyAlignment="1" applyBorder="1" applyFont="1">
      <alignment readingOrder="0" shrinkToFit="0" vertical="center" wrapText="0"/>
    </xf>
    <xf borderId="6" fillId="0" fontId="5" numFmtId="164" xfId="0" applyAlignment="1" applyBorder="1" applyFont="1" applyNumberFormat="1">
      <alignment readingOrder="0" shrinkToFit="0" vertical="center" wrapText="0"/>
    </xf>
    <xf borderId="0" fillId="0" fontId="9" numFmtId="0" xfId="0" applyAlignment="1" applyFont="1">
      <alignment vertical="center"/>
    </xf>
    <xf borderId="6" fillId="12" fontId="5" numFmtId="0" xfId="0" applyAlignment="1" applyBorder="1" applyFill="1" applyFont="1">
      <alignment readingOrder="0" shrinkToFit="0" vertical="center" wrapText="0"/>
    </xf>
    <xf borderId="6" fillId="12" fontId="5" numFmtId="0" xfId="0" applyAlignment="1" applyBorder="1" applyFont="1">
      <alignment shrinkToFit="0" vertical="center" wrapText="0"/>
    </xf>
    <xf borderId="6" fillId="12" fontId="5" numFmtId="164" xfId="0" applyAlignment="1" applyBorder="1" applyFont="1" applyNumberFormat="1">
      <alignment readingOrder="0" shrinkToFit="0" vertical="center" wrapText="0"/>
    </xf>
    <xf borderId="6" fillId="12" fontId="19" numFmtId="0" xfId="0" applyAlignment="1" applyBorder="1" applyFont="1">
      <alignment readingOrder="0" shrinkToFit="0" vertical="center" wrapText="0"/>
    </xf>
    <xf borderId="6" fillId="12" fontId="5" numFmtId="0" xfId="0" applyAlignment="1" applyBorder="1" applyFont="1">
      <alignment readingOrder="0" shrinkToFit="0" vertical="center" wrapText="1"/>
    </xf>
    <xf borderId="0" fillId="12" fontId="5" numFmtId="0" xfId="0" applyAlignment="1" applyFont="1">
      <alignment readingOrder="0" shrinkToFit="0" vertical="center" wrapText="0"/>
    </xf>
    <xf borderId="6" fillId="12" fontId="5" numFmtId="0" xfId="0" applyAlignment="1" applyBorder="1" applyFont="1">
      <alignment readingOrder="0" vertical="center"/>
    </xf>
    <xf borderId="0" fillId="0" fontId="5" numFmtId="0" xfId="0" applyAlignment="1" applyFont="1">
      <alignment shrinkToFit="0" vertical="bottom" wrapText="0"/>
    </xf>
    <xf borderId="0" fillId="0" fontId="11" numFmtId="0" xfId="0" applyAlignment="1" applyFont="1">
      <alignment horizontal="center" vertical="bottom"/>
    </xf>
    <xf borderId="6" fillId="4" fontId="14" numFmtId="0" xfId="0" applyAlignment="1" applyBorder="1" applyFont="1">
      <alignment horizontal="center" shrinkToFit="0" vertical="center" wrapText="0"/>
    </xf>
    <xf borderId="6" fillId="4" fontId="15" numFmtId="0" xfId="0" applyAlignment="1" applyBorder="1" applyFont="1">
      <alignment horizontal="right" shrinkToFit="0" vertical="top" wrapText="0"/>
    </xf>
    <xf borderId="6" fillId="4" fontId="17" numFmtId="0" xfId="0" applyAlignment="1" applyBorder="1" applyFont="1">
      <alignment horizontal="left" shrinkToFit="0" vertical="top" wrapText="1"/>
    </xf>
    <xf borderId="6" fillId="9" fontId="17" numFmtId="0" xfId="0" applyAlignment="1" applyBorder="1" applyFont="1">
      <alignment shrinkToFit="0" vertical="top" wrapText="1"/>
    </xf>
    <xf borderId="6" fillId="13" fontId="17" numFmtId="0" xfId="0" applyAlignment="1" applyBorder="1" applyFill="1" applyFont="1">
      <alignment readingOrder="0" shrinkToFit="0" vertical="top" wrapText="1"/>
    </xf>
    <xf borderId="6" fillId="11" fontId="17" numFmtId="0" xfId="0" applyAlignment="1" applyBorder="1" applyFont="1">
      <alignment readingOrder="0" shrinkToFit="0" vertical="top" wrapText="1"/>
    </xf>
    <xf borderId="6" fillId="13" fontId="17" numFmtId="0" xfId="0" applyAlignment="1" applyBorder="1" applyFont="1">
      <alignment shrinkToFit="0" vertical="top" wrapText="1"/>
    </xf>
    <xf borderId="0" fillId="4" fontId="5" numFmtId="0" xfId="0" applyAlignment="1" applyFont="1">
      <alignment shrinkToFit="0" vertical="bottom" wrapText="0"/>
    </xf>
    <xf borderId="6" fillId="0" fontId="5" numFmtId="0" xfId="0" applyAlignment="1" applyBorder="1" applyFont="1">
      <alignment readingOrder="0" shrinkToFit="0" vertical="center" wrapText="0"/>
    </xf>
    <xf borderId="6" fillId="0" fontId="5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6" fillId="0" fontId="5" numFmtId="0" xfId="0" applyAlignment="1" applyBorder="1" applyFont="1">
      <alignment readingOrder="0" vertical="center"/>
    </xf>
    <xf borderId="6" fillId="12" fontId="5" numFmtId="0" xfId="0" applyAlignment="1" applyBorder="1" applyFont="1">
      <alignment horizontal="left" readingOrder="0" shrinkToFit="0" vertical="center" wrapText="1"/>
    </xf>
    <xf borderId="0" fillId="12" fontId="5" numFmtId="0" xfId="0" applyAlignment="1" applyFont="1">
      <alignment horizontal="left" readingOrder="0" shrinkToFit="0" vertical="center" wrapText="0"/>
    </xf>
    <xf borderId="0" fillId="12" fontId="20" numFmtId="0" xfId="0" applyAlignment="1" applyFont="1">
      <alignment horizontal="left" readingOrder="0" shrinkToFit="0" vertical="center" wrapText="1"/>
    </xf>
    <xf borderId="0" fillId="12" fontId="5" numFmtId="0" xfId="0" applyAlignment="1" applyFont="1">
      <alignment horizontal="left" readingOrder="0" shrinkToFit="0" vertical="center" wrapText="1"/>
    </xf>
    <xf borderId="0" fillId="4" fontId="20" numFmtId="0" xfId="0" applyAlignment="1" applyFont="1">
      <alignment horizontal="left" readingOrder="0" shrinkToFit="0" vertical="center" wrapText="1"/>
    </xf>
    <xf borderId="6" fillId="4" fontId="5" numFmtId="0" xfId="0" applyAlignment="1" applyBorder="1" applyFont="1">
      <alignment horizontal="left" readingOrder="0" shrinkToFit="0" vertical="center" wrapText="1"/>
    </xf>
    <xf borderId="6" fillId="0" fontId="9" numFmtId="0" xfId="0" applyAlignment="1" applyBorder="1" applyFont="1">
      <alignment horizontal="left" readingOrder="0" shrinkToFit="0" wrapText="1"/>
    </xf>
    <xf borderId="0" fillId="0" fontId="5" numFmtId="0" xfId="0" applyAlignment="1" applyFont="1">
      <alignment horizontal="left" readingOrder="0" shrinkToFit="0" vertical="center" wrapText="1"/>
    </xf>
    <xf borderId="6" fillId="4" fontId="20" numFmtId="0" xfId="0" applyAlignment="1" applyBorder="1" applyFont="1">
      <alignment horizontal="left" readingOrder="0" shrinkToFit="0" vertical="center" wrapText="1"/>
    </xf>
    <xf borderId="1" fillId="3" fontId="4" numFmtId="0" xfId="0" applyAlignment="1" applyBorder="1" applyFont="1">
      <alignment horizontal="center" shrinkToFit="0" vertical="center" wrapText="0"/>
    </xf>
    <xf borderId="6" fillId="8" fontId="8" numFmtId="0" xfId="0" applyAlignment="1" applyBorder="1" applyFont="1">
      <alignment readingOrder="0" shrinkToFit="0" vertical="bottom" wrapText="0"/>
    </xf>
    <xf borderId="6" fillId="8" fontId="5" numFmtId="164" xfId="0" applyAlignment="1" applyBorder="1" applyFont="1" applyNumberFormat="1">
      <alignment shrinkToFit="0" vertical="bottom" wrapText="0"/>
    </xf>
    <xf borderId="6" fillId="8" fontId="8" numFmtId="0" xfId="0" applyAlignment="1" applyBorder="1" applyFont="1">
      <alignment shrinkToFit="0" vertical="bottom" wrapText="0"/>
    </xf>
    <xf borderId="6" fillId="3" fontId="4" numFmtId="0" xfId="0" applyAlignment="1" applyBorder="1" applyFont="1">
      <alignment shrinkToFit="0" vertical="bottom" wrapText="0"/>
    </xf>
    <xf borderId="6" fillId="3" fontId="4" numFmtId="164" xfId="0" applyAlignment="1" applyBorder="1" applyFont="1" applyNumberFormat="1">
      <alignment shrinkToFit="0" vertical="bottom" wrapText="0"/>
    </xf>
    <xf borderId="6" fillId="6" fontId="5" numFmtId="0" xfId="0" applyAlignment="1" applyBorder="1" applyFont="1">
      <alignment vertical="top"/>
    </xf>
    <xf borderId="6" fillId="12" fontId="5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ia.gen@archipielagofilm.com" TargetMode="External"/><Relationship Id="rId2" Type="http://schemas.openxmlformats.org/officeDocument/2006/relationships/hyperlink" Target="mailto:ia.gen@archipielagofilm.co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_y9pjFFEEHlDNN_3xt5q4A9oVIcsXPDQ/view?usp=sharing" TargetMode="External"/><Relationship Id="rId2" Type="http://schemas.openxmlformats.org/officeDocument/2006/relationships/hyperlink" Target="https://drive.google.com/file/d/1_nwq4IoZqrzcXsdd6sedF0mT8Ot9xxpo/view?usp=drive_link" TargetMode="External"/><Relationship Id="rId3" Type="http://schemas.openxmlformats.org/officeDocument/2006/relationships/hyperlink" Target="https://drive.google.com/file/d/1NLd0i_4T79w8CGte_LLBK0m8PV3USeO3/view?usp=sharing" TargetMode="External"/><Relationship Id="rId4" Type="http://schemas.openxmlformats.org/officeDocument/2006/relationships/hyperlink" Target="https://drive.google.com/file/d/1u098urGWwTfy788OtCajyGWFdbc6ypgC/view?usp=sharing" TargetMode="External"/><Relationship Id="rId5" Type="http://schemas.openxmlformats.org/officeDocument/2006/relationships/hyperlink" Target="https://drive.google.com/file/d/16b_CilrePvFwl5DWbC7WqhZBYpT7I6pC/view?usp=sharing" TargetMode="External"/><Relationship Id="rId6" Type="http://schemas.openxmlformats.org/officeDocument/2006/relationships/hyperlink" Target="https://drive.google.com/file/d/149Rs_aG10OWWp-UCczjnx2HF2bYrIVYl/view?usp=sharing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Hx8s3ZGL1pAdD6quWALlGu9q2PYcGZoR/view?usp=drive_link" TargetMode="External"/><Relationship Id="rId10" Type="http://schemas.openxmlformats.org/officeDocument/2006/relationships/hyperlink" Target="https://drive.google.com/file/d/1g9fQkdw7P-tAP50_2xNijk2wtBF-gDvt/view?usp=drive_link" TargetMode="External"/><Relationship Id="rId13" Type="http://schemas.openxmlformats.org/officeDocument/2006/relationships/hyperlink" Target="https://drive.google.com/file/d/1LccAbvyKHW2LTqYcErwaV1oAisvnHkRg/view?usp=drive_link" TargetMode="External"/><Relationship Id="rId12" Type="http://schemas.openxmlformats.org/officeDocument/2006/relationships/hyperlink" Target="https://drive.google.com/file/d/1qw_Nb_QTIFgj6C6uJtgdVGo1JrpQSweP/view?usp=drive_link" TargetMode="External"/><Relationship Id="rId1" Type="http://schemas.openxmlformats.org/officeDocument/2006/relationships/hyperlink" Target="https://drive.google.com/file/d/1wGIpoTBSIJ5uswSGm2bqSdHcrM6a_TVX/view?usp=sharing" TargetMode="External"/><Relationship Id="rId2" Type="http://schemas.openxmlformats.org/officeDocument/2006/relationships/hyperlink" Target="https://drive.google.com/file/d/1IPMvtEkyQmko5Lg7vVV8e4hMl4mZrlEW/view?usp=sharing" TargetMode="External"/><Relationship Id="rId3" Type="http://schemas.openxmlformats.org/officeDocument/2006/relationships/hyperlink" Target="https://drive.google.com/file/d/1zG-zVwGkm-M2ac6Yu1zJnRObnQrPpIEF/view?usp=sharing" TargetMode="External"/><Relationship Id="rId4" Type="http://schemas.openxmlformats.org/officeDocument/2006/relationships/hyperlink" Target="https://drive.google.com/file/d/1HIupD4KDOidEkqio634--ViLNvFqqIDc/view?usp=drive_link" TargetMode="External"/><Relationship Id="rId9" Type="http://schemas.openxmlformats.org/officeDocument/2006/relationships/hyperlink" Target="https://drive.google.com/file/d/1S7jaBNr21v7e0Y5bHk2fS1Cq8PRLFaUP/view?usp=drive_link" TargetMode="External"/><Relationship Id="rId15" Type="http://schemas.openxmlformats.org/officeDocument/2006/relationships/drawing" Target="../drawings/drawing3.xml"/><Relationship Id="rId14" Type="http://schemas.openxmlformats.org/officeDocument/2006/relationships/hyperlink" Target="https://drive.google.com/file/d/1-nbB-rJ0LQpDE57HIbdUX4TV_npJ3Eeb/view?usp=drive_link" TargetMode="External"/><Relationship Id="rId5" Type="http://schemas.openxmlformats.org/officeDocument/2006/relationships/hyperlink" Target="https://drive.google.com/file/d/1IyXpsLQB0CglmCzIh1kg3RWeVy1Yu0U4/view?usp=sharing" TargetMode="External"/><Relationship Id="rId6" Type="http://schemas.openxmlformats.org/officeDocument/2006/relationships/hyperlink" Target="https://drive.google.com/file/d/1R8zlvdCA1Xm25jePRHYS_Kop6Qde-JsP/view?usp=sharing" TargetMode="External"/><Relationship Id="rId7" Type="http://schemas.openxmlformats.org/officeDocument/2006/relationships/hyperlink" Target="https://drive.google.com/file/d/1u06BJsF1ST8GcLpX0W2A7fB-30rf2fS9/view?usp=sharing" TargetMode="External"/><Relationship Id="rId8" Type="http://schemas.openxmlformats.org/officeDocument/2006/relationships/hyperlink" Target="https://drive.google.com/file/d/1Ri6lI9E08RPPTbQcFShcro_kNajF-xpi/view?usp=sharin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5.86"/>
    <col customWidth="1" min="2" max="2" width="15.0"/>
    <col customWidth="1" min="3" max="3" width="16.14"/>
    <col customWidth="1" min="4" max="4" width="20.29"/>
    <col customWidth="1" min="5" max="5" width="10.0"/>
    <col customWidth="1" min="6" max="7" width="12.0"/>
    <col customWidth="1" min="8" max="8" width="37.43"/>
    <col customWidth="1" min="9" max="9" width="53.71"/>
    <col customWidth="1" min="10" max="29" width="8.71"/>
  </cols>
  <sheetData>
    <row r="1">
      <c r="A1" s="1" t="s">
        <v>0</v>
      </c>
    </row>
    <row r="3">
      <c r="A3" s="2" t="s">
        <v>1</v>
      </c>
      <c r="B3" s="3"/>
      <c r="C3" s="3"/>
      <c r="D3" s="3"/>
      <c r="E3" s="3"/>
      <c r="F3" s="4"/>
      <c r="G3" s="5"/>
      <c r="H3" s="5"/>
      <c r="I3" s="5"/>
    </row>
    <row r="4">
      <c r="A4" s="6" t="s">
        <v>2</v>
      </c>
      <c r="B4" s="6" t="s">
        <v>3</v>
      </c>
      <c r="C4" s="6" t="s">
        <v>4</v>
      </c>
      <c r="D4" s="7" t="s">
        <v>5</v>
      </c>
      <c r="E4" s="6" t="s">
        <v>6</v>
      </c>
      <c r="F4" s="6" t="s">
        <v>7</v>
      </c>
      <c r="G4" s="8" t="s">
        <v>8</v>
      </c>
      <c r="H4" s="8" t="s">
        <v>9</v>
      </c>
      <c r="I4" s="8" t="s">
        <v>10</v>
      </c>
    </row>
    <row r="5">
      <c r="A5" s="9" t="s">
        <v>11</v>
      </c>
      <c r="B5" s="9" t="s">
        <v>12</v>
      </c>
      <c r="C5" s="10">
        <v>16.0</v>
      </c>
      <c r="D5" s="11">
        <v>20.0</v>
      </c>
      <c r="E5" s="12" t="s">
        <v>13</v>
      </c>
      <c r="F5" s="9" t="s">
        <v>14</v>
      </c>
      <c r="G5" s="9" t="s">
        <v>15</v>
      </c>
      <c r="H5" s="13" t="s">
        <v>16</v>
      </c>
      <c r="I5" s="13"/>
    </row>
    <row r="6">
      <c r="A6" s="12" t="s">
        <v>17</v>
      </c>
      <c r="B6" s="12" t="s">
        <v>18</v>
      </c>
      <c r="C6" s="14">
        <v>23.0</v>
      </c>
      <c r="D6" s="15">
        <v>33.0</v>
      </c>
      <c r="E6" s="12" t="s">
        <v>13</v>
      </c>
      <c r="F6" s="9" t="s">
        <v>19</v>
      </c>
      <c r="G6" s="9" t="s">
        <v>15</v>
      </c>
      <c r="H6" s="13" t="s">
        <v>20</v>
      </c>
      <c r="I6" s="13"/>
    </row>
    <row r="7">
      <c r="A7" s="12" t="s">
        <v>21</v>
      </c>
      <c r="B7" s="12" t="s">
        <v>22</v>
      </c>
      <c r="C7" s="14">
        <v>26.0</v>
      </c>
      <c r="D7" s="15">
        <v>60.0</v>
      </c>
      <c r="E7" s="12" t="s">
        <v>13</v>
      </c>
      <c r="F7" s="12" t="s">
        <v>14</v>
      </c>
      <c r="G7" s="9" t="s">
        <v>15</v>
      </c>
      <c r="H7" s="16" t="s">
        <v>23</v>
      </c>
      <c r="I7" s="16"/>
    </row>
    <row r="8">
      <c r="A8" s="12" t="s">
        <v>24</v>
      </c>
      <c r="B8" s="12" t="s">
        <v>25</v>
      </c>
      <c r="C8" s="14">
        <v>26.0</v>
      </c>
      <c r="D8" s="15">
        <v>120.0</v>
      </c>
      <c r="E8" s="12" t="s">
        <v>13</v>
      </c>
      <c r="F8" s="9" t="s">
        <v>14</v>
      </c>
      <c r="G8" s="9" t="s">
        <v>15</v>
      </c>
      <c r="H8" s="13" t="s">
        <v>26</v>
      </c>
      <c r="I8" s="12"/>
    </row>
    <row r="9">
      <c r="A9" s="12" t="s">
        <v>27</v>
      </c>
      <c r="B9" s="12" t="s">
        <v>18</v>
      </c>
      <c r="C9" s="14">
        <v>1.0</v>
      </c>
      <c r="D9" s="15">
        <v>9.99</v>
      </c>
      <c r="E9" s="12" t="s">
        <v>13</v>
      </c>
      <c r="F9" s="9" t="s">
        <v>14</v>
      </c>
      <c r="G9" s="9" t="s">
        <v>15</v>
      </c>
      <c r="H9" s="13" t="s">
        <v>26</v>
      </c>
      <c r="I9" s="9" t="s">
        <v>28</v>
      </c>
    </row>
    <row r="10">
      <c r="A10" s="9" t="s">
        <v>29</v>
      </c>
      <c r="B10" s="12" t="s">
        <v>30</v>
      </c>
      <c r="C10" s="14"/>
      <c r="D10" s="15"/>
      <c r="E10" s="12"/>
      <c r="F10" s="12"/>
      <c r="G10" s="9" t="s">
        <v>15</v>
      </c>
      <c r="H10" s="13" t="s">
        <v>26</v>
      </c>
      <c r="I10" s="9" t="s">
        <v>31</v>
      </c>
    </row>
    <row r="11">
      <c r="A11" s="9" t="s">
        <v>32</v>
      </c>
      <c r="B11" s="9" t="s">
        <v>33</v>
      </c>
      <c r="C11" s="10">
        <v>26.0</v>
      </c>
      <c r="D11" s="11">
        <v>369.0</v>
      </c>
      <c r="E11" s="9" t="s">
        <v>13</v>
      </c>
      <c r="F11" s="9" t="s">
        <v>14</v>
      </c>
      <c r="G11" s="9" t="s">
        <v>15</v>
      </c>
      <c r="H11" s="13" t="s">
        <v>26</v>
      </c>
      <c r="I11" s="9"/>
    </row>
    <row r="12">
      <c r="A12" s="9" t="s">
        <v>34</v>
      </c>
      <c r="B12" s="9" t="s">
        <v>35</v>
      </c>
      <c r="C12" s="10">
        <v>30.0</v>
      </c>
      <c r="D12" s="11">
        <v>24.0</v>
      </c>
      <c r="E12" s="9" t="s">
        <v>13</v>
      </c>
      <c r="F12" s="9" t="s">
        <v>19</v>
      </c>
      <c r="G12" s="9" t="s">
        <v>36</v>
      </c>
      <c r="H12" s="13" t="s">
        <v>16</v>
      </c>
      <c r="I12" s="9"/>
    </row>
    <row r="13">
      <c r="A13" s="9" t="s">
        <v>37</v>
      </c>
      <c r="B13" s="9" t="s">
        <v>12</v>
      </c>
      <c r="C13" s="10"/>
      <c r="D13" s="11"/>
      <c r="E13" s="9"/>
      <c r="F13" s="9"/>
      <c r="G13" s="9" t="s">
        <v>15</v>
      </c>
      <c r="H13" s="17" t="s">
        <v>38</v>
      </c>
      <c r="I13" s="9" t="s">
        <v>39</v>
      </c>
    </row>
    <row r="14" ht="14.25" customHeight="1">
      <c r="A14" s="9" t="s">
        <v>37</v>
      </c>
      <c r="B14" s="9" t="s">
        <v>12</v>
      </c>
      <c r="C14" s="10"/>
      <c r="D14" s="11"/>
      <c r="E14" s="9"/>
      <c r="F14" s="9"/>
      <c r="G14" s="9" t="s">
        <v>15</v>
      </c>
      <c r="H14" s="13" t="s">
        <v>26</v>
      </c>
      <c r="I14" s="9" t="s">
        <v>31</v>
      </c>
    </row>
    <row r="15" ht="14.25" customHeight="1">
      <c r="A15" s="9" t="s">
        <v>40</v>
      </c>
      <c r="B15" s="9" t="s">
        <v>22</v>
      </c>
      <c r="C15" s="10">
        <v>17.0</v>
      </c>
      <c r="D15" s="11">
        <v>5.6</v>
      </c>
      <c r="E15" s="9" t="s">
        <v>13</v>
      </c>
      <c r="F15" s="9" t="s">
        <v>14</v>
      </c>
      <c r="G15" s="9" t="s">
        <v>15</v>
      </c>
      <c r="H15" s="17" t="s">
        <v>41</v>
      </c>
      <c r="I15" s="9"/>
    </row>
    <row r="16" ht="14.25" customHeight="1">
      <c r="A16" s="9" t="s">
        <v>42</v>
      </c>
      <c r="B16" s="9" t="s">
        <v>43</v>
      </c>
      <c r="C16" s="10"/>
      <c r="D16" s="11"/>
      <c r="E16" s="9"/>
      <c r="F16" s="9"/>
      <c r="G16" s="9" t="s">
        <v>15</v>
      </c>
      <c r="H16" s="17"/>
      <c r="I16" s="9" t="s">
        <v>31</v>
      </c>
    </row>
    <row r="19">
      <c r="A19" s="2" t="s">
        <v>44</v>
      </c>
      <c r="B19" s="3"/>
      <c r="C19" s="3"/>
      <c r="D19" s="3"/>
      <c r="E19" s="4"/>
    </row>
    <row r="20">
      <c r="A20" s="18" t="s">
        <v>45</v>
      </c>
      <c r="B20" s="19" t="s">
        <v>46</v>
      </c>
      <c r="C20" s="18" t="s">
        <v>47</v>
      </c>
      <c r="D20" s="18" t="s">
        <v>48</v>
      </c>
      <c r="E20" s="18" t="s">
        <v>49</v>
      </c>
    </row>
    <row r="21">
      <c r="A21" s="20" t="s">
        <v>50</v>
      </c>
      <c r="B21" s="21">
        <f>Nov_2025!L3</f>
        <v>606</v>
      </c>
      <c r="C21" s="21">
        <f>Nov_2025!L4</f>
        <v>5</v>
      </c>
      <c r="D21" s="21">
        <f>Nov_2025!L5</f>
        <v>0</v>
      </c>
      <c r="E21" s="22">
        <f t="shared" ref="E21:E30" si="1">SUM(B21:D21)</f>
        <v>611</v>
      </c>
    </row>
    <row r="22">
      <c r="A22" s="20" t="s">
        <v>51</v>
      </c>
      <c r="B22" s="21">
        <f>Dec_2025!L3</f>
        <v>551.99</v>
      </c>
      <c r="C22" s="21">
        <f>Dec_2025!L4</f>
        <v>160</v>
      </c>
      <c r="D22" s="21">
        <f>Dec_2025!L5</f>
        <v>25.6</v>
      </c>
      <c r="E22" s="22">
        <f t="shared" si="1"/>
        <v>737.59</v>
      </c>
    </row>
    <row r="23">
      <c r="A23" s="20" t="s">
        <v>52</v>
      </c>
      <c r="B23" s="21">
        <f>Jan_2026!L3</f>
        <v>0</v>
      </c>
      <c r="C23" s="21">
        <f>Jan_2026!L4</f>
        <v>0</v>
      </c>
      <c r="D23" s="21">
        <f>Jan_2026!L5</f>
        <v>0</v>
      </c>
      <c r="E23" s="22">
        <f t="shared" si="1"/>
        <v>0</v>
      </c>
    </row>
    <row r="24">
      <c r="A24" s="20" t="s">
        <v>53</v>
      </c>
      <c r="B24" s="21">
        <f>Feb_2026!L3</f>
        <v>0</v>
      </c>
      <c r="C24" s="21">
        <f>Feb_2026!L4</f>
        <v>0</v>
      </c>
      <c r="D24" s="21">
        <f>Feb_2026!L5</f>
        <v>0</v>
      </c>
      <c r="E24" s="22">
        <f t="shared" si="1"/>
        <v>0</v>
      </c>
    </row>
    <row r="25">
      <c r="A25" s="20" t="s">
        <v>54</v>
      </c>
      <c r="B25" s="21">
        <f>Mar_2026!L3</f>
        <v>0</v>
      </c>
      <c r="C25" s="21">
        <f>Mar_2026!L4</f>
        <v>0</v>
      </c>
      <c r="D25" s="21">
        <f>Mar_2026!L5</f>
        <v>0</v>
      </c>
      <c r="E25" s="22">
        <f t="shared" si="1"/>
        <v>0</v>
      </c>
    </row>
    <row r="26" ht="15.75" customHeight="1">
      <c r="A26" s="20" t="s">
        <v>55</v>
      </c>
      <c r="B26" s="21">
        <f>Apr_2026!L3</f>
        <v>0</v>
      </c>
      <c r="C26" s="21">
        <f>Apr_2026!L4</f>
        <v>0</v>
      </c>
      <c r="D26" s="21">
        <f>Apr_2026!L5</f>
        <v>0</v>
      </c>
      <c r="E26" s="22">
        <f t="shared" si="1"/>
        <v>0</v>
      </c>
    </row>
    <row r="27" ht="15.75" customHeight="1">
      <c r="A27" s="20" t="s">
        <v>56</v>
      </c>
      <c r="B27" s="21">
        <f>May_2026!L3</f>
        <v>0</v>
      </c>
      <c r="C27" s="21">
        <f>May_2026!L4</f>
        <v>0</v>
      </c>
      <c r="D27" s="21">
        <f>May_2026!L5</f>
        <v>0</v>
      </c>
      <c r="E27" s="22">
        <f t="shared" si="1"/>
        <v>0</v>
      </c>
    </row>
    <row r="28" ht="15.75" customHeight="1">
      <c r="A28" s="20" t="s">
        <v>57</v>
      </c>
      <c r="B28" s="21">
        <f>Jun_2026!L3</f>
        <v>0</v>
      </c>
      <c r="C28" s="21">
        <f>Jun_2026!L4</f>
        <v>0</v>
      </c>
      <c r="D28" s="21">
        <f>Jun_2026!L5</f>
        <v>0</v>
      </c>
      <c r="E28" s="22">
        <f t="shared" si="1"/>
        <v>0</v>
      </c>
    </row>
    <row r="29" ht="15.75" customHeight="1">
      <c r="A29" s="20" t="s">
        <v>58</v>
      </c>
      <c r="B29" s="21">
        <f>Jul_2026!L3</f>
        <v>0</v>
      </c>
      <c r="C29" s="21">
        <f>Jul_2026!L4</f>
        <v>0</v>
      </c>
      <c r="D29" s="21">
        <f>Jul_2026!L5</f>
        <v>0</v>
      </c>
      <c r="E29" s="22">
        <f t="shared" si="1"/>
        <v>0</v>
      </c>
    </row>
    <row r="30" ht="15.75" customHeight="1">
      <c r="A30" s="20" t="s">
        <v>59</v>
      </c>
      <c r="B30" s="21">
        <f>Aug_2026!L3</f>
        <v>0</v>
      </c>
      <c r="C30" s="21">
        <f>Aug_2026!L4</f>
        <v>0</v>
      </c>
      <c r="D30" s="21">
        <f>Aug_2026!L5</f>
        <v>0</v>
      </c>
      <c r="E30" s="22">
        <f t="shared" si="1"/>
        <v>0</v>
      </c>
    </row>
    <row r="31" ht="15.75" customHeight="1"/>
    <row r="32" ht="15.75" customHeight="1"/>
    <row r="33" ht="15.75" customHeight="1">
      <c r="A33" s="23" t="s">
        <v>60</v>
      </c>
      <c r="B33" s="4"/>
    </row>
    <row r="34" ht="15.75" customHeight="1">
      <c r="A34" s="24" t="s">
        <v>61</v>
      </c>
      <c r="B34" s="25">
        <f>SUM(E21:E30)</f>
        <v>1348.59</v>
      </c>
    </row>
    <row r="35" ht="15.75" customHeight="1">
      <c r="A35" s="24" t="s">
        <v>62</v>
      </c>
      <c r="B35" s="26">
        <f>AVERAGE(E21:E22)</f>
        <v>674.295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4">
    <mergeCell ref="A1:J1"/>
    <mergeCell ref="A3:F3"/>
    <mergeCell ref="A19:E19"/>
    <mergeCell ref="A33:B33"/>
  </mergeCells>
  <hyperlinks>
    <hyperlink r:id="rId1" ref="H13"/>
    <hyperlink r:id="rId2" ref="H15"/>
  </hyperlinks>
  <printOptions/>
  <pageMargins bottom="0.75" footer="0.0" header="0.0" left="1.0" right="1.0" top="0.75"/>
  <pageSetup fitToHeight="0" paperSize="9"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6.0"/>
    <col customWidth="1" min="9" max="9" width="22.0"/>
    <col customWidth="1" min="10" max="10" width="3.57"/>
    <col customWidth="1" min="11" max="11" width="10.0"/>
    <col customWidth="1" min="12" max="12" width="12.0"/>
    <col customWidth="1" min="13" max="28" width="8.71"/>
  </cols>
  <sheetData>
    <row r="1" ht="39.75" customHeight="1">
      <c r="A1" s="27"/>
      <c r="B1" s="28">
        <v>45962.0</v>
      </c>
      <c r="I1" s="29"/>
      <c r="K1" s="30"/>
      <c r="L1" s="4"/>
    </row>
    <row r="2" ht="21.75" customHeight="1">
      <c r="A2" s="31"/>
      <c r="B2" s="32" t="s">
        <v>63</v>
      </c>
      <c r="C2" s="32" t="s">
        <v>64</v>
      </c>
      <c r="D2" s="32" t="s">
        <v>65</v>
      </c>
      <c r="E2" s="32" t="s">
        <v>66</v>
      </c>
      <c r="F2" s="32" t="s">
        <v>67</v>
      </c>
      <c r="G2" s="32" t="s">
        <v>68</v>
      </c>
      <c r="H2" s="32" t="s">
        <v>69</v>
      </c>
      <c r="I2" s="33"/>
      <c r="K2" s="34" t="s">
        <v>70</v>
      </c>
      <c r="L2" s="4"/>
    </row>
    <row r="3" ht="18.0" customHeight="1">
      <c r="A3" s="35"/>
      <c r="B3" s="36"/>
      <c r="C3" s="36"/>
      <c r="D3" s="36"/>
      <c r="E3" s="36"/>
      <c r="F3" s="36"/>
      <c r="G3" s="37">
        <v>1.0</v>
      </c>
      <c r="H3" s="37">
        <v>2.0</v>
      </c>
      <c r="I3" s="38"/>
      <c r="K3" s="39" t="s">
        <v>71</v>
      </c>
      <c r="L3" s="40">
        <f>SUMIF(C26:C31,"Fixed",D26:D31)</f>
        <v>606</v>
      </c>
    </row>
    <row r="4" ht="18.0" customHeight="1">
      <c r="A4" s="35"/>
      <c r="B4" s="36"/>
      <c r="C4" s="36"/>
      <c r="D4" s="36"/>
      <c r="E4" s="36"/>
      <c r="F4" s="36"/>
      <c r="G4" s="41"/>
      <c r="H4" s="41"/>
      <c r="I4" s="42"/>
      <c r="K4" s="43" t="s">
        <v>72</v>
      </c>
      <c r="L4" s="40">
        <f>SUMIF(C25:C31,"Extra",D25:AB31)</f>
        <v>5</v>
      </c>
    </row>
    <row r="5" ht="18.0" customHeight="1">
      <c r="A5" s="35"/>
      <c r="B5" s="36"/>
      <c r="C5" s="36"/>
      <c r="D5" s="36"/>
      <c r="E5" s="36"/>
      <c r="F5" s="36"/>
      <c r="G5" s="41"/>
      <c r="H5" s="41"/>
      <c r="I5" s="42"/>
      <c r="K5" s="43" t="s">
        <v>73</v>
      </c>
      <c r="L5" s="40">
        <f>SUMIF(C26:C31,"One-off",D26:D31)</f>
        <v>0</v>
      </c>
    </row>
    <row r="6" ht="18.0" customHeight="1">
      <c r="A6" s="35"/>
      <c r="B6" s="36"/>
      <c r="C6" s="36"/>
      <c r="D6" s="36"/>
      <c r="E6" s="36"/>
      <c r="F6" s="36"/>
      <c r="G6" s="41"/>
      <c r="H6" s="41"/>
      <c r="I6" s="42"/>
      <c r="K6" s="44" t="s">
        <v>74</v>
      </c>
      <c r="L6" s="45">
        <f>SUM(L3:L5)</f>
        <v>611</v>
      </c>
    </row>
    <row r="7" ht="18.0" customHeight="1">
      <c r="A7" s="46"/>
      <c r="B7" s="47">
        <v>3.0</v>
      </c>
      <c r="C7" s="47">
        <v>4.0</v>
      </c>
      <c r="D7" s="47">
        <v>5.0</v>
      </c>
      <c r="E7" s="47">
        <v>6.0</v>
      </c>
      <c r="F7" s="47">
        <v>7.0</v>
      </c>
      <c r="G7" s="37">
        <v>8.0</v>
      </c>
      <c r="H7" s="37">
        <v>9.0</v>
      </c>
      <c r="I7" s="38"/>
    </row>
    <row r="8" ht="18.0" customHeight="1">
      <c r="A8" s="48"/>
      <c r="B8" s="49"/>
      <c r="C8" s="49"/>
      <c r="D8" s="49"/>
      <c r="E8" s="49"/>
      <c r="F8" s="49"/>
      <c r="G8" s="41"/>
      <c r="H8" s="41"/>
      <c r="I8" s="42"/>
    </row>
    <row r="9" ht="18.0" customHeight="1">
      <c r="A9" s="48"/>
      <c r="B9" s="49"/>
      <c r="C9" s="49"/>
      <c r="D9" s="49"/>
      <c r="E9" s="49"/>
      <c r="F9" s="49"/>
      <c r="G9" s="41"/>
      <c r="H9" s="41"/>
      <c r="I9" s="42"/>
    </row>
    <row r="10" ht="18.0" customHeight="1">
      <c r="A10" s="48"/>
      <c r="B10" s="49"/>
      <c r="C10" s="49"/>
      <c r="D10" s="49"/>
      <c r="E10" s="49"/>
      <c r="F10" s="49"/>
      <c r="G10" s="41"/>
      <c r="H10" s="41"/>
      <c r="I10" s="42"/>
    </row>
    <row r="11" ht="18.0" customHeight="1">
      <c r="A11" s="46"/>
      <c r="B11" s="47">
        <v>10.0</v>
      </c>
      <c r="C11" s="47">
        <v>11.0</v>
      </c>
      <c r="D11" s="47">
        <v>12.0</v>
      </c>
      <c r="E11" s="47">
        <v>13.0</v>
      </c>
      <c r="F11" s="47">
        <v>14.0</v>
      </c>
      <c r="G11" s="37">
        <v>15.0</v>
      </c>
      <c r="H11" s="37">
        <v>16.0</v>
      </c>
      <c r="I11" s="38"/>
    </row>
    <row r="12" ht="18.0" customHeight="1">
      <c r="A12" s="48"/>
      <c r="B12" s="49"/>
      <c r="C12" s="49"/>
      <c r="D12" s="49"/>
      <c r="E12" s="49"/>
      <c r="F12" s="50"/>
      <c r="G12" s="41"/>
      <c r="H12" s="41"/>
      <c r="I12" s="51"/>
    </row>
    <row r="13" ht="18.0" customHeight="1">
      <c r="A13" s="48"/>
      <c r="B13" s="49"/>
      <c r="C13" s="49"/>
      <c r="D13" s="49"/>
      <c r="E13" s="49"/>
      <c r="F13" s="49"/>
      <c r="G13" s="41"/>
      <c r="H13" s="41"/>
      <c r="I13" s="42"/>
    </row>
    <row r="14" ht="18.0" customHeight="1">
      <c r="A14" s="48"/>
      <c r="B14" s="49"/>
      <c r="C14" s="49"/>
      <c r="D14" s="49"/>
      <c r="E14" s="49"/>
      <c r="F14" s="49"/>
      <c r="G14" s="41"/>
      <c r="H14" s="41"/>
      <c r="I14" s="42"/>
    </row>
    <row r="15" ht="18.0" customHeight="1">
      <c r="A15" s="46"/>
      <c r="B15" s="47">
        <v>17.0</v>
      </c>
      <c r="C15" s="47">
        <v>18.0</v>
      </c>
      <c r="D15" s="47">
        <v>19.0</v>
      </c>
      <c r="E15" s="47">
        <v>20.0</v>
      </c>
      <c r="F15" s="47">
        <v>21.0</v>
      </c>
      <c r="G15" s="37">
        <v>22.0</v>
      </c>
      <c r="H15" s="37">
        <v>23.0</v>
      </c>
      <c r="I15" s="38"/>
    </row>
    <row r="16" ht="18.0" customHeight="1">
      <c r="A16" s="48"/>
      <c r="B16" s="49"/>
      <c r="C16" s="49"/>
      <c r="D16" s="49"/>
      <c r="E16" s="49"/>
      <c r="F16" s="49"/>
      <c r="G16" s="41"/>
      <c r="H16" s="52" t="s">
        <v>75</v>
      </c>
      <c r="I16" s="51"/>
    </row>
    <row r="17" ht="18.0" customHeight="1">
      <c r="A17" s="48"/>
      <c r="B17" s="49"/>
      <c r="C17" s="49"/>
      <c r="D17" s="49"/>
      <c r="E17" s="49"/>
      <c r="F17" s="49"/>
      <c r="G17" s="41"/>
      <c r="H17" s="41"/>
      <c r="I17" s="42"/>
    </row>
    <row r="18" ht="18.0" customHeight="1">
      <c r="A18" s="48"/>
      <c r="B18" s="49"/>
      <c r="C18" s="49"/>
      <c r="D18" s="49"/>
      <c r="E18" s="49"/>
      <c r="F18" s="49"/>
      <c r="G18" s="41"/>
      <c r="H18" s="41"/>
      <c r="I18" s="42"/>
    </row>
    <row r="19" ht="18.0" customHeight="1">
      <c r="A19" s="46"/>
      <c r="B19" s="47">
        <v>24.0</v>
      </c>
      <c r="C19" s="47">
        <v>25.0</v>
      </c>
      <c r="D19" s="47">
        <v>26.0</v>
      </c>
      <c r="E19" s="47">
        <v>27.0</v>
      </c>
      <c r="F19" s="47">
        <v>28.0</v>
      </c>
      <c r="G19" s="37">
        <v>29.0</v>
      </c>
      <c r="H19" s="37">
        <v>30.0</v>
      </c>
      <c r="I19" s="38"/>
    </row>
    <row r="20" ht="18.0" customHeight="1">
      <c r="A20" s="48"/>
      <c r="B20" s="49"/>
      <c r="C20" s="49"/>
      <c r="D20" s="53" t="s">
        <v>76</v>
      </c>
      <c r="E20" s="49"/>
      <c r="F20" s="49"/>
      <c r="G20" s="41"/>
      <c r="H20" s="54" t="s">
        <v>77</v>
      </c>
      <c r="I20" s="42"/>
    </row>
    <row r="21" ht="18.0" customHeight="1">
      <c r="A21" s="48"/>
      <c r="B21" s="49"/>
      <c r="C21" s="49"/>
      <c r="D21" s="55" t="s">
        <v>78</v>
      </c>
      <c r="E21" s="49"/>
      <c r="F21" s="49"/>
      <c r="G21" s="41"/>
      <c r="H21" s="41"/>
      <c r="I21" s="42"/>
    </row>
    <row r="22" ht="18.0" customHeight="1">
      <c r="A22" s="48"/>
      <c r="B22" s="49"/>
      <c r="C22" s="49"/>
      <c r="D22" s="52" t="s">
        <v>79</v>
      </c>
      <c r="E22" s="49"/>
      <c r="F22" s="49"/>
      <c r="G22" s="41"/>
      <c r="H22" s="41"/>
      <c r="I22" s="42"/>
    </row>
    <row r="23" ht="15.75" customHeight="1"/>
    <row r="24" ht="15.75" customHeight="1">
      <c r="A24" s="56" t="s">
        <v>80</v>
      </c>
      <c r="B24" s="3"/>
      <c r="C24" s="3"/>
      <c r="D24" s="3"/>
      <c r="E24" s="3"/>
      <c r="F24" s="3"/>
      <c r="G24" s="4"/>
      <c r="H24" s="57"/>
      <c r="I24" s="57"/>
    </row>
    <row r="25" ht="15.75" customHeight="1">
      <c r="A25" s="18" t="s">
        <v>81</v>
      </c>
      <c r="B25" s="18" t="s">
        <v>2</v>
      </c>
      <c r="C25" s="18" t="s">
        <v>82</v>
      </c>
      <c r="D25" s="18" t="s">
        <v>83</v>
      </c>
      <c r="E25" s="18" t="s">
        <v>3</v>
      </c>
      <c r="F25" s="19" t="s">
        <v>84</v>
      </c>
      <c r="G25" s="19" t="s">
        <v>9</v>
      </c>
      <c r="H25" s="8" t="s">
        <v>85</v>
      </c>
      <c r="I25" s="18" t="s">
        <v>10</v>
      </c>
    </row>
    <row r="26" ht="15.75" customHeight="1">
      <c r="A26" s="58">
        <v>23.0</v>
      </c>
      <c r="B26" s="58" t="s">
        <v>17</v>
      </c>
      <c r="C26" s="58" t="s">
        <v>46</v>
      </c>
      <c r="D26" s="59">
        <v>33.0</v>
      </c>
      <c r="E26" s="58" t="s">
        <v>18</v>
      </c>
      <c r="F26" s="60" t="s">
        <v>86</v>
      </c>
      <c r="G26" s="61" t="s">
        <v>16</v>
      </c>
      <c r="H26" s="62" t="s">
        <v>87</v>
      </c>
      <c r="I26" s="63" t="s">
        <v>88</v>
      </c>
    </row>
    <row r="27" ht="15.75" customHeight="1">
      <c r="A27" s="58">
        <v>26.0</v>
      </c>
      <c r="B27" s="58" t="s">
        <v>21</v>
      </c>
      <c r="C27" s="58" t="s">
        <v>46</v>
      </c>
      <c r="D27" s="59">
        <v>60.0</v>
      </c>
      <c r="E27" s="58" t="s">
        <v>22</v>
      </c>
      <c r="F27" s="60" t="s">
        <v>86</v>
      </c>
      <c r="G27" s="64" t="s">
        <v>23</v>
      </c>
      <c r="H27" s="62" t="s">
        <v>87</v>
      </c>
      <c r="I27" s="65" t="s">
        <v>89</v>
      </c>
    </row>
    <row r="28" ht="15.75" customHeight="1">
      <c r="A28" s="58">
        <v>26.0</v>
      </c>
      <c r="B28" s="58" t="s">
        <v>24</v>
      </c>
      <c r="C28" s="58" t="s">
        <v>46</v>
      </c>
      <c r="D28" s="59">
        <v>120.0</v>
      </c>
      <c r="E28" s="58" t="s">
        <v>25</v>
      </c>
      <c r="F28" s="60" t="s">
        <v>90</v>
      </c>
      <c r="G28" s="61" t="s">
        <v>26</v>
      </c>
      <c r="H28" s="62" t="s">
        <v>87</v>
      </c>
      <c r="I28" s="65" t="s">
        <v>89</v>
      </c>
    </row>
    <row r="29" ht="15.75" customHeight="1">
      <c r="A29" s="66">
        <v>26.0</v>
      </c>
      <c r="B29" s="66" t="s">
        <v>32</v>
      </c>
      <c r="C29" s="66" t="s">
        <v>46</v>
      </c>
      <c r="D29" s="67">
        <v>369.0</v>
      </c>
      <c r="E29" s="66" t="s">
        <v>33</v>
      </c>
      <c r="F29" s="60" t="s">
        <v>91</v>
      </c>
      <c r="G29" s="61" t="s">
        <v>26</v>
      </c>
      <c r="H29" s="62" t="s">
        <v>87</v>
      </c>
      <c r="I29" s="65" t="s">
        <v>89</v>
      </c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</row>
    <row r="30" ht="15.75" customHeight="1">
      <c r="A30" s="69">
        <v>27.0</v>
      </c>
      <c r="B30" s="70" t="s">
        <v>11</v>
      </c>
      <c r="C30" s="69" t="s">
        <v>92</v>
      </c>
      <c r="D30" s="71">
        <v>5.0</v>
      </c>
      <c r="E30" s="70" t="s">
        <v>93</v>
      </c>
      <c r="F30" s="72" t="s">
        <v>90</v>
      </c>
      <c r="G30" s="73" t="s">
        <v>16</v>
      </c>
      <c r="H30" s="74" t="s">
        <v>87</v>
      </c>
      <c r="I30" s="75" t="s">
        <v>94</v>
      </c>
    </row>
    <row r="31" ht="15.75" customHeight="1">
      <c r="A31" s="66">
        <v>30.0</v>
      </c>
      <c r="B31" s="66" t="s">
        <v>34</v>
      </c>
      <c r="C31" s="66" t="s">
        <v>46</v>
      </c>
      <c r="D31" s="67">
        <v>24.0</v>
      </c>
      <c r="E31" s="66" t="s">
        <v>35</v>
      </c>
      <c r="F31" s="60" t="s">
        <v>90</v>
      </c>
      <c r="G31" s="61" t="s">
        <v>16</v>
      </c>
      <c r="H31" s="62" t="s">
        <v>87</v>
      </c>
      <c r="I31" s="63" t="s">
        <v>88</v>
      </c>
    </row>
    <row r="32" ht="15.75" customHeight="1">
      <c r="A32" s="20"/>
      <c r="B32" s="20"/>
      <c r="C32" s="20"/>
      <c r="D32" s="21"/>
      <c r="E32" s="20"/>
      <c r="F32" s="20"/>
      <c r="G32" s="20"/>
      <c r="H32" s="76"/>
      <c r="I32" s="76"/>
    </row>
    <row r="33" ht="15.75" customHeight="1">
      <c r="A33" s="20"/>
      <c r="B33" s="20"/>
      <c r="C33" s="20"/>
      <c r="D33" s="21"/>
      <c r="E33" s="20"/>
      <c r="F33" s="20"/>
      <c r="G33" s="20"/>
      <c r="H33" s="76"/>
      <c r="I33" s="76"/>
    </row>
    <row r="34" ht="15.75" customHeight="1">
      <c r="A34" s="20"/>
      <c r="B34" s="20"/>
      <c r="C34" s="20"/>
      <c r="D34" s="21"/>
      <c r="E34" s="20"/>
      <c r="F34" s="20"/>
      <c r="G34" s="20"/>
      <c r="H34" s="76"/>
      <c r="I34" s="76"/>
    </row>
    <row r="35" ht="15.75" customHeight="1">
      <c r="A35" s="20"/>
      <c r="B35" s="20"/>
      <c r="C35" s="20"/>
      <c r="D35" s="21"/>
      <c r="E35" s="20"/>
      <c r="F35" s="20"/>
      <c r="G35" s="20"/>
      <c r="H35" s="76"/>
      <c r="I35" s="76"/>
    </row>
    <row r="36" ht="15.75" customHeight="1">
      <c r="A36" s="20"/>
      <c r="B36" s="20"/>
      <c r="C36" s="20"/>
      <c r="D36" s="21"/>
      <c r="E36" s="20"/>
      <c r="F36" s="20"/>
      <c r="G36" s="20"/>
      <c r="H36" s="76"/>
      <c r="I36" s="76"/>
    </row>
    <row r="37" ht="15.75" customHeight="1">
      <c r="A37" s="20"/>
      <c r="B37" s="20"/>
      <c r="C37" s="20"/>
      <c r="D37" s="21"/>
      <c r="E37" s="20"/>
      <c r="F37" s="20"/>
      <c r="G37" s="20"/>
      <c r="H37" s="76"/>
      <c r="I37" s="76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autoFilter ref="$A$25:$I$31">
    <sortState ref="A25:I31">
      <sortCondition ref="A25:A31"/>
    </sortState>
  </autoFilter>
  <mergeCells count="4">
    <mergeCell ref="B1:H1"/>
    <mergeCell ref="K1:L1"/>
    <mergeCell ref="K2:L2"/>
    <mergeCell ref="A24:G24"/>
  </mergeCells>
  <hyperlinks>
    <hyperlink r:id="rId1" ref="F26"/>
    <hyperlink r:id="rId2" ref="F27"/>
    <hyperlink r:id="rId3" ref="F28"/>
    <hyperlink r:id="rId4" ref="F29"/>
    <hyperlink r:id="rId5" ref="F30"/>
    <hyperlink r:id="rId6" ref="F31"/>
  </hyperlinks>
  <printOptions/>
  <pageMargins bottom="1.0" footer="0.0" header="0.0" left="0.75" right="0.75" top="1.0"/>
  <pageSetup paperSize="9" orientation="portrait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6.0"/>
    <col customWidth="1" min="9" max="9" width="19.14"/>
    <col customWidth="1" min="10" max="10" width="2.0"/>
    <col customWidth="1" min="11" max="11" width="10.0"/>
    <col customWidth="1" min="12" max="12" width="12.0"/>
    <col customWidth="1" min="13" max="28" width="8.71"/>
  </cols>
  <sheetData>
    <row r="1" ht="39.75" customHeight="1">
      <c r="A1" s="29"/>
      <c r="B1" s="77" t="s">
        <v>95</v>
      </c>
      <c r="I1" s="29"/>
      <c r="K1" s="30"/>
      <c r="L1" s="4"/>
    </row>
    <row r="2" ht="21.75" customHeight="1">
      <c r="A2" s="78"/>
      <c r="B2" s="32" t="s">
        <v>63</v>
      </c>
      <c r="C2" s="32" t="s">
        <v>64</v>
      </c>
      <c r="D2" s="32" t="s">
        <v>65</v>
      </c>
      <c r="E2" s="32" t="s">
        <v>66</v>
      </c>
      <c r="F2" s="32" t="s">
        <v>67</v>
      </c>
      <c r="G2" s="32" t="s">
        <v>68</v>
      </c>
      <c r="H2" s="32" t="s">
        <v>69</v>
      </c>
      <c r="I2" s="33"/>
      <c r="K2" s="34" t="s">
        <v>70</v>
      </c>
      <c r="L2" s="4"/>
    </row>
    <row r="3" ht="18.0" customHeight="1">
      <c r="A3" s="79"/>
      <c r="B3" s="47">
        <v>1.0</v>
      </c>
      <c r="C3" s="47">
        <v>2.0</v>
      </c>
      <c r="D3" s="47">
        <v>3.0</v>
      </c>
      <c r="E3" s="47">
        <v>4.0</v>
      </c>
      <c r="F3" s="47">
        <v>5.0</v>
      </c>
      <c r="G3" s="37">
        <v>6.0</v>
      </c>
      <c r="H3" s="37">
        <v>7.0</v>
      </c>
      <c r="I3" s="38"/>
      <c r="K3" s="39" t="s">
        <v>71</v>
      </c>
      <c r="L3" s="40">
        <f>SUMIF(C28:C50,"Fixed",D28:D50)</f>
        <v>551.99</v>
      </c>
    </row>
    <row r="4" ht="18.0" customHeight="1">
      <c r="A4" s="80"/>
      <c r="B4" s="81" t="s">
        <v>96</v>
      </c>
      <c r="C4" s="49"/>
      <c r="D4" s="82" t="s">
        <v>97</v>
      </c>
      <c r="E4" s="82" t="s">
        <v>97</v>
      </c>
      <c r="F4" s="82" t="s">
        <v>97</v>
      </c>
      <c r="G4" s="41"/>
      <c r="H4" s="41"/>
      <c r="I4" s="42"/>
      <c r="K4" s="43" t="s">
        <v>72</v>
      </c>
      <c r="L4" s="40">
        <f>SUMIF(C28:C50,"Extra",D28:D50)</f>
        <v>160</v>
      </c>
    </row>
    <row r="5" ht="18.0" customHeight="1">
      <c r="A5" s="80"/>
      <c r="B5" s="49"/>
      <c r="C5" s="49"/>
      <c r="D5" s="49"/>
      <c r="E5" s="49"/>
      <c r="F5" s="49"/>
      <c r="G5" s="41"/>
      <c r="H5" s="41"/>
      <c r="I5" s="42"/>
      <c r="K5" s="43" t="s">
        <v>73</v>
      </c>
      <c r="L5" s="40">
        <f>SUMIF(C28:C50,"One-off",D28:D50)</f>
        <v>25.6</v>
      </c>
    </row>
    <row r="6" ht="18.0" customHeight="1">
      <c r="A6" s="48"/>
      <c r="B6" s="49"/>
      <c r="C6" s="49"/>
      <c r="D6" s="49"/>
      <c r="E6" s="49"/>
      <c r="F6" s="49"/>
      <c r="G6" s="41"/>
      <c r="H6" s="41"/>
      <c r="I6" s="42"/>
      <c r="K6" s="44" t="s">
        <v>74</v>
      </c>
      <c r="L6" s="45">
        <f>SUM(L3:L5)</f>
        <v>737.59</v>
      </c>
    </row>
    <row r="7" ht="18.0" customHeight="1">
      <c r="A7" s="79"/>
      <c r="B7" s="47">
        <v>8.0</v>
      </c>
      <c r="C7" s="47">
        <v>9.0</v>
      </c>
      <c r="D7" s="47">
        <v>10.0</v>
      </c>
      <c r="E7" s="47">
        <v>11.0</v>
      </c>
      <c r="F7" s="47">
        <v>12.0</v>
      </c>
      <c r="G7" s="37">
        <v>13.0</v>
      </c>
      <c r="H7" s="37">
        <v>14.0</v>
      </c>
      <c r="I7" s="38"/>
    </row>
    <row r="8" ht="18.0" customHeight="1">
      <c r="A8" s="48"/>
      <c r="B8" s="49"/>
      <c r="C8" s="49"/>
      <c r="D8" s="49"/>
      <c r="E8" s="83" t="s">
        <v>98</v>
      </c>
      <c r="F8" s="49"/>
      <c r="G8" s="82" t="s">
        <v>99</v>
      </c>
      <c r="H8" s="41"/>
      <c r="I8" s="51"/>
    </row>
    <row r="9" ht="18.0" customHeight="1">
      <c r="A9" s="48"/>
      <c r="B9" s="49"/>
      <c r="C9" s="49"/>
      <c r="D9" s="49"/>
      <c r="E9" s="49"/>
      <c r="F9" s="49"/>
      <c r="G9" s="41"/>
      <c r="H9" s="41"/>
      <c r="I9" s="42"/>
    </row>
    <row r="10" ht="18.0" customHeight="1">
      <c r="A10" s="48"/>
      <c r="B10" s="49"/>
      <c r="C10" s="49"/>
      <c r="D10" s="49"/>
      <c r="E10" s="49"/>
      <c r="F10" s="49"/>
      <c r="G10" s="41"/>
      <c r="H10" s="41"/>
      <c r="I10" s="42"/>
    </row>
    <row r="11" ht="18.0" customHeight="1">
      <c r="A11" s="79"/>
      <c r="B11" s="47">
        <v>15.0</v>
      </c>
      <c r="C11" s="47">
        <v>16.0</v>
      </c>
      <c r="D11" s="47">
        <v>17.0</v>
      </c>
      <c r="E11" s="47">
        <v>18.0</v>
      </c>
      <c r="F11" s="47">
        <v>19.0</v>
      </c>
      <c r="G11" s="37">
        <v>20.0</v>
      </c>
      <c r="H11" s="37">
        <v>21.0</v>
      </c>
      <c r="I11" s="38"/>
    </row>
    <row r="12" ht="18.0" customHeight="1">
      <c r="A12" s="48"/>
      <c r="B12" s="82" t="s">
        <v>97</v>
      </c>
      <c r="C12" s="84" t="s">
        <v>100</v>
      </c>
      <c r="D12" s="83" t="s">
        <v>98</v>
      </c>
      <c r="E12" s="82" t="s">
        <v>101</v>
      </c>
      <c r="F12" s="49"/>
      <c r="G12" s="41"/>
      <c r="H12" s="41"/>
      <c r="I12" s="42"/>
    </row>
    <row r="13" ht="18.0" customHeight="1">
      <c r="A13" s="48"/>
      <c r="B13" s="49"/>
      <c r="C13" s="82" t="s">
        <v>97</v>
      </c>
      <c r="D13" s="54" t="s">
        <v>102</v>
      </c>
      <c r="E13" s="49"/>
      <c r="F13" s="49"/>
      <c r="G13" s="41"/>
      <c r="H13" s="41"/>
      <c r="I13" s="42"/>
    </row>
    <row r="14" ht="18.0" customHeight="1">
      <c r="A14" s="48"/>
      <c r="B14" s="49"/>
      <c r="C14" s="49"/>
      <c r="D14" s="82" t="s">
        <v>97</v>
      </c>
      <c r="E14" s="49"/>
      <c r="F14" s="49"/>
      <c r="G14" s="41"/>
      <c r="H14" s="41"/>
      <c r="I14" s="42"/>
    </row>
    <row r="15" ht="18.0" customHeight="1">
      <c r="A15" s="48"/>
      <c r="B15" s="49"/>
      <c r="C15" s="49"/>
      <c r="D15" s="82" t="s">
        <v>97</v>
      </c>
      <c r="E15" s="49"/>
      <c r="F15" s="49"/>
      <c r="G15" s="41"/>
      <c r="H15" s="41"/>
      <c r="I15" s="42"/>
    </row>
    <row r="16" ht="18.0" customHeight="1">
      <c r="A16" s="79"/>
      <c r="B16" s="47"/>
      <c r="C16" s="47"/>
      <c r="D16" s="83" t="s">
        <v>103</v>
      </c>
      <c r="E16" s="47"/>
      <c r="F16" s="47"/>
      <c r="G16" s="37"/>
      <c r="H16" s="37"/>
      <c r="I16" s="38"/>
    </row>
    <row r="17" ht="18.0" customHeight="1">
      <c r="A17" s="79"/>
      <c r="B17" s="47">
        <v>22.0</v>
      </c>
      <c r="C17" s="47">
        <v>23.0</v>
      </c>
      <c r="D17" s="47">
        <v>24.0</v>
      </c>
      <c r="E17" s="47">
        <v>25.0</v>
      </c>
      <c r="F17" s="47">
        <v>26.0</v>
      </c>
      <c r="G17" s="37">
        <v>27.0</v>
      </c>
      <c r="H17" s="37">
        <v>28.0</v>
      </c>
      <c r="I17" s="38"/>
    </row>
    <row r="18" ht="18.0" customHeight="1">
      <c r="A18" s="48"/>
      <c r="B18" s="49"/>
      <c r="C18" s="52" t="s">
        <v>75</v>
      </c>
      <c r="D18" s="49"/>
      <c r="E18" s="49"/>
      <c r="F18" s="55" t="s">
        <v>78</v>
      </c>
      <c r="G18" s="41"/>
      <c r="H18" s="41"/>
      <c r="I18" s="42"/>
    </row>
    <row r="19" ht="18.0" customHeight="1">
      <c r="A19" s="48"/>
      <c r="B19" s="49"/>
      <c r="C19" s="49"/>
      <c r="D19" s="49"/>
      <c r="E19" s="49"/>
      <c r="F19" s="81" t="s">
        <v>79</v>
      </c>
      <c r="G19" s="41"/>
      <c r="H19" s="41"/>
      <c r="I19" s="42"/>
    </row>
    <row r="20" ht="18.0" customHeight="1">
      <c r="A20" s="48"/>
      <c r="B20" s="49"/>
      <c r="C20" s="49"/>
      <c r="D20" s="49"/>
      <c r="E20" s="49"/>
      <c r="F20" s="49"/>
      <c r="G20" s="41"/>
      <c r="H20" s="41"/>
      <c r="I20" s="42"/>
    </row>
    <row r="21" ht="18.0" customHeight="1">
      <c r="A21" s="79"/>
      <c r="B21" s="47">
        <v>29.0</v>
      </c>
      <c r="C21" s="47">
        <v>30.0</v>
      </c>
      <c r="D21" s="47">
        <v>31.0</v>
      </c>
      <c r="E21" s="36"/>
      <c r="F21" s="36"/>
      <c r="G21" s="36"/>
      <c r="H21" s="36"/>
      <c r="I21" s="85"/>
    </row>
    <row r="22" ht="18.0" customHeight="1">
      <c r="A22" s="48"/>
      <c r="B22" s="49"/>
      <c r="C22" s="54" t="s">
        <v>77</v>
      </c>
      <c r="D22" s="49"/>
      <c r="E22" s="36"/>
      <c r="F22" s="36"/>
      <c r="G22" s="36"/>
      <c r="H22" s="36"/>
      <c r="I22" s="85"/>
    </row>
    <row r="23" ht="18.0" customHeight="1">
      <c r="A23" s="48"/>
      <c r="B23" s="49"/>
      <c r="C23" s="49"/>
      <c r="D23" s="49"/>
      <c r="E23" s="36"/>
      <c r="F23" s="36"/>
      <c r="G23" s="36"/>
      <c r="H23" s="36"/>
      <c r="I23" s="85"/>
    </row>
    <row r="24" ht="18.0" customHeight="1">
      <c r="A24" s="48"/>
      <c r="B24" s="49"/>
      <c r="C24" s="49"/>
      <c r="D24" s="49"/>
      <c r="E24" s="36"/>
      <c r="F24" s="36"/>
      <c r="G24" s="36"/>
      <c r="H24" s="36"/>
      <c r="I24" s="85"/>
    </row>
    <row r="25" ht="15.75" customHeight="1"/>
    <row r="26" ht="15.75" customHeight="1">
      <c r="A26" s="56" t="s">
        <v>80</v>
      </c>
      <c r="B26" s="3"/>
      <c r="C26" s="3"/>
      <c r="D26" s="3"/>
      <c r="E26" s="3"/>
      <c r="F26" s="3"/>
      <c r="G26" s="4"/>
      <c r="H26" s="57"/>
      <c r="I26" s="57"/>
    </row>
    <row r="27" ht="15.75" customHeight="1">
      <c r="A27" s="18" t="s">
        <v>81</v>
      </c>
      <c r="B27" s="18" t="s">
        <v>2</v>
      </c>
      <c r="C27" s="18" t="s">
        <v>82</v>
      </c>
      <c r="D27" s="18" t="s">
        <v>83</v>
      </c>
      <c r="E27" s="18" t="s">
        <v>3</v>
      </c>
      <c r="F27" s="19" t="s">
        <v>84</v>
      </c>
      <c r="G27" s="19" t="s">
        <v>9</v>
      </c>
      <c r="H27" s="8" t="s">
        <v>85</v>
      </c>
      <c r="I27" s="18" t="s">
        <v>10</v>
      </c>
    </row>
    <row r="28" ht="15.75" customHeight="1">
      <c r="A28" s="66">
        <v>1.0</v>
      </c>
      <c r="B28" s="66" t="s">
        <v>27</v>
      </c>
      <c r="C28" s="66" t="s">
        <v>46</v>
      </c>
      <c r="D28" s="67">
        <v>9.99</v>
      </c>
      <c r="E28" s="66" t="s">
        <v>104</v>
      </c>
      <c r="F28" s="86"/>
      <c r="G28" s="87" t="s">
        <v>26</v>
      </c>
      <c r="H28" s="88" t="s">
        <v>87</v>
      </c>
      <c r="I28" s="89" t="s">
        <v>89</v>
      </c>
    </row>
    <row r="29" ht="15.75" customHeight="1">
      <c r="A29" s="69">
        <v>3.0</v>
      </c>
      <c r="B29" s="69" t="s">
        <v>11</v>
      </c>
      <c r="C29" s="69" t="s">
        <v>92</v>
      </c>
      <c r="D29" s="71">
        <v>5.0</v>
      </c>
      <c r="E29" s="69" t="s">
        <v>12</v>
      </c>
      <c r="F29" s="72" t="s">
        <v>90</v>
      </c>
      <c r="G29" s="90" t="s">
        <v>16</v>
      </c>
      <c r="H29" s="91" t="s">
        <v>87</v>
      </c>
      <c r="I29" s="75" t="s">
        <v>94</v>
      </c>
    </row>
    <row r="30" ht="15.75" customHeight="1">
      <c r="A30" s="69">
        <v>4.0</v>
      </c>
      <c r="B30" s="69" t="s">
        <v>11</v>
      </c>
      <c r="C30" s="69" t="s">
        <v>92</v>
      </c>
      <c r="D30" s="71">
        <v>5.0</v>
      </c>
      <c r="E30" s="69" t="s">
        <v>12</v>
      </c>
      <c r="F30" s="72" t="s">
        <v>90</v>
      </c>
      <c r="G30" s="90" t="s">
        <v>16</v>
      </c>
      <c r="H30" s="91" t="s">
        <v>87</v>
      </c>
      <c r="I30" s="75" t="s">
        <v>94</v>
      </c>
    </row>
    <row r="31" ht="15.75" customHeight="1">
      <c r="A31" s="69">
        <v>5.0</v>
      </c>
      <c r="B31" s="69" t="s">
        <v>11</v>
      </c>
      <c r="C31" s="69" t="s">
        <v>92</v>
      </c>
      <c r="D31" s="71">
        <v>5.0</v>
      </c>
      <c r="E31" s="69" t="s">
        <v>12</v>
      </c>
      <c r="F31" s="72" t="s">
        <v>90</v>
      </c>
      <c r="G31" s="90" t="s">
        <v>16</v>
      </c>
      <c r="H31" s="91" t="s">
        <v>87</v>
      </c>
      <c r="I31" s="75" t="s">
        <v>94</v>
      </c>
    </row>
    <row r="32" ht="15.75" customHeight="1">
      <c r="A32" s="69">
        <v>10.0</v>
      </c>
      <c r="B32" s="69" t="s">
        <v>11</v>
      </c>
      <c r="C32" s="71" t="s">
        <v>92</v>
      </c>
      <c r="D32" s="71">
        <v>10.0</v>
      </c>
      <c r="E32" s="69" t="s">
        <v>12</v>
      </c>
      <c r="F32" s="72" t="s">
        <v>90</v>
      </c>
      <c r="G32" s="90" t="s">
        <v>16</v>
      </c>
      <c r="H32" s="91" t="s">
        <v>87</v>
      </c>
      <c r="I32" s="75" t="s">
        <v>94</v>
      </c>
    </row>
    <row r="33" ht="15.75" customHeight="1">
      <c r="A33" s="69">
        <v>11.0</v>
      </c>
      <c r="B33" s="69" t="s">
        <v>24</v>
      </c>
      <c r="C33" s="69" t="s">
        <v>92</v>
      </c>
      <c r="D33" s="71">
        <v>50.0</v>
      </c>
      <c r="E33" s="70" t="s">
        <v>25</v>
      </c>
      <c r="F33" s="72" t="s">
        <v>90</v>
      </c>
      <c r="G33" s="90" t="s">
        <v>26</v>
      </c>
      <c r="H33" s="92" t="s">
        <v>105</v>
      </c>
      <c r="I33" s="75" t="s">
        <v>94</v>
      </c>
    </row>
    <row r="34" ht="15.75" customHeight="1">
      <c r="A34" s="69">
        <v>13.0</v>
      </c>
      <c r="B34" s="69" t="s">
        <v>11</v>
      </c>
      <c r="C34" s="69" t="s">
        <v>92</v>
      </c>
      <c r="D34" s="71">
        <v>15.0</v>
      </c>
      <c r="E34" s="69" t="s">
        <v>12</v>
      </c>
      <c r="F34" s="72" t="s">
        <v>90</v>
      </c>
      <c r="G34" s="90" t="s">
        <v>16</v>
      </c>
      <c r="H34" s="91" t="s">
        <v>87</v>
      </c>
      <c r="I34" s="75" t="s">
        <v>94</v>
      </c>
    </row>
    <row r="35" ht="15.75" customHeight="1">
      <c r="A35" s="69">
        <v>15.0</v>
      </c>
      <c r="B35" s="69" t="s">
        <v>11</v>
      </c>
      <c r="C35" s="69" t="s">
        <v>92</v>
      </c>
      <c r="D35" s="71">
        <v>5.0</v>
      </c>
      <c r="E35" s="69" t="s">
        <v>12</v>
      </c>
      <c r="F35" s="72" t="s">
        <v>90</v>
      </c>
      <c r="G35" s="90" t="s">
        <v>16</v>
      </c>
      <c r="H35" s="91" t="s">
        <v>87</v>
      </c>
      <c r="I35" s="75" t="s">
        <v>94</v>
      </c>
    </row>
    <row r="36" ht="15.75" customHeight="1">
      <c r="A36" s="69">
        <v>16.0</v>
      </c>
      <c r="B36" s="69" t="s">
        <v>11</v>
      </c>
      <c r="C36" s="69" t="s">
        <v>92</v>
      </c>
      <c r="D36" s="71">
        <v>5.0</v>
      </c>
      <c r="E36" s="69" t="s">
        <v>12</v>
      </c>
      <c r="F36" s="72" t="s">
        <v>90</v>
      </c>
      <c r="G36" s="90" t="s">
        <v>16</v>
      </c>
      <c r="H36" s="91" t="s">
        <v>87</v>
      </c>
      <c r="I36" s="75" t="s">
        <v>94</v>
      </c>
    </row>
    <row r="37" ht="15.75" customHeight="1">
      <c r="A37" s="66">
        <v>16.0</v>
      </c>
      <c r="B37" s="66" t="s">
        <v>11</v>
      </c>
      <c r="C37" s="66" t="s">
        <v>46</v>
      </c>
      <c r="D37" s="67">
        <v>20.0</v>
      </c>
      <c r="E37" s="66" t="s">
        <v>12</v>
      </c>
      <c r="F37" s="60" t="s">
        <v>90</v>
      </c>
      <c r="G37" s="87" t="s">
        <v>26</v>
      </c>
      <c r="H37" s="88" t="s">
        <v>87</v>
      </c>
      <c r="I37" s="63" t="s">
        <v>88</v>
      </c>
    </row>
    <row r="38" ht="15.75" customHeight="1">
      <c r="A38" s="69">
        <v>17.0</v>
      </c>
      <c r="B38" s="69" t="s">
        <v>11</v>
      </c>
      <c r="C38" s="69" t="s">
        <v>92</v>
      </c>
      <c r="D38" s="71">
        <v>5.0</v>
      </c>
      <c r="E38" s="69" t="s">
        <v>12</v>
      </c>
      <c r="F38" s="72" t="s">
        <v>90</v>
      </c>
      <c r="G38" s="90" t="s">
        <v>16</v>
      </c>
      <c r="H38" s="91" t="s">
        <v>87</v>
      </c>
      <c r="I38" s="75" t="s">
        <v>94</v>
      </c>
    </row>
    <row r="39" ht="15.75" customHeight="1">
      <c r="A39" s="69">
        <v>17.0</v>
      </c>
      <c r="B39" s="69" t="s">
        <v>11</v>
      </c>
      <c r="C39" s="69" t="s">
        <v>92</v>
      </c>
      <c r="D39" s="71">
        <v>5.0</v>
      </c>
      <c r="E39" s="69" t="s">
        <v>12</v>
      </c>
      <c r="F39" s="72" t="s">
        <v>90</v>
      </c>
      <c r="G39" s="90" t="s">
        <v>16</v>
      </c>
      <c r="H39" s="91" t="s">
        <v>87</v>
      </c>
      <c r="I39" s="75" t="s">
        <v>94</v>
      </c>
    </row>
    <row r="40" ht="32.25" customHeight="1">
      <c r="A40" s="69">
        <v>17.0</v>
      </c>
      <c r="B40" s="69" t="s">
        <v>24</v>
      </c>
      <c r="C40" s="69" t="s">
        <v>92</v>
      </c>
      <c r="D40" s="71">
        <v>50.0</v>
      </c>
      <c r="E40" s="70" t="s">
        <v>25</v>
      </c>
      <c r="F40" s="72" t="s">
        <v>90</v>
      </c>
      <c r="G40" s="93" t="s">
        <v>26</v>
      </c>
      <c r="H40" s="92" t="s">
        <v>105</v>
      </c>
      <c r="I40" s="75" t="s">
        <v>94</v>
      </c>
    </row>
    <row r="41" ht="32.25" customHeight="1">
      <c r="A41" s="66">
        <v>17.0</v>
      </c>
      <c r="B41" s="66" t="s">
        <v>106</v>
      </c>
      <c r="C41" s="66" t="s">
        <v>48</v>
      </c>
      <c r="D41" s="67">
        <v>20.0</v>
      </c>
      <c r="E41" s="58" t="s">
        <v>25</v>
      </c>
      <c r="F41" s="60" t="s">
        <v>90</v>
      </c>
      <c r="G41" s="94" t="s">
        <v>105</v>
      </c>
      <c r="H41" s="88" t="s">
        <v>87</v>
      </c>
      <c r="I41" s="89" t="s">
        <v>107</v>
      </c>
    </row>
    <row r="42" ht="32.25" customHeight="1">
      <c r="A42" s="66">
        <v>17.0</v>
      </c>
      <c r="B42" s="66" t="s">
        <v>40</v>
      </c>
      <c r="C42" s="66" t="s">
        <v>48</v>
      </c>
      <c r="D42" s="67">
        <v>5.6</v>
      </c>
      <c r="E42" s="66" t="s">
        <v>22</v>
      </c>
      <c r="F42" s="60" t="s">
        <v>90</v>
      </c>
      <c r="G42" s="94" t="s">
        <v>105</v>
      </c>
      <c r="H42" s="88" t="s">
        <v>87</v>
      </c>
      <c r="I42" s="89"/>
    </row>
    <row r="43" ht="32.25" customHeight="1">
      <c r="A43" s="66">
        <v>23.0</v>
      </c>
      <c r="B43" s="66" t="s">
        <v>108</v>
      </c>
      <c r="C43" s="66" t="s">
        <v>46</v>
      </c>
      <c r="D43" s="67">
        <v>33.0</v>
      </c>
      <c r="E43" s="66" t="s">
        <v>109</v>
      </c>
      <c r="F43" s="86"/>
      <c r="G43" s="95" t="s">
        <v>16</v>
      </c>
      <c r="H43" s="88" t="s">
        <v>87</v>
      </c>
      <c r="I43" s="89"/>
    </row>
    <row r="44" ht="32.25" customHeight="1">
      <c r="A44" s="58">
        <v>26.0</v>
      </c>
      <c r="B44" s="58" t="s">
        <v>21</v>
      </c>
      <c r="C44" s="66" t="s">
        <v>46</v>
      </c>
      <c r="D44" s="67">
        <v>0.0</v>
      </c>
      <c r="E44" s="58" t="s">
        <v>22</v>
      </c>
      <c r="F44" s="86"/>
      <c r="G44" s="96" t="s">
        <v>23</v>
      </c>
      <c r="H44" s="88" t="s">
        <v>87</v>
      </c>
      <c r="I44" s="89" t="s">
        <v>110</v>
      </c>
    </row>
    <row r="45" ht="32.25" customHeight="1">
      <c r="A45" s="58">
        <v>26.0</v>
      </c>
      <c r="B45" s="58" t="s">
        <v>24</v>
      </c>
      <c r="C45" s="66" t="s">
        <v>46</v>
      </c>
      <c r="D45" s="59">
        <v>120.0</v>
      </c>
      <c r="E45" s="58" t="s">
        <v>25</v>
      </c>
      <c r="F45" s="86"/>
      <c r="G45" s="87" t="s">
        <v>26</v>
      </c>
      <c r="H45" s="94" t="s">
        <v>105</v>
      </c>
      <c r="I45" s="63" t="s">
        <v>88</v>
      </c>
    </row>
    <row r="46" ht="15.75" customHeight="1">
      <c r="A46" s="66">
        <v>26.0</v>
      </c>
      <c r="B46" s="66" t="s">
        <v>32</v>
      </c>
      <c r="C46" s="66" t="s">
        <v>46</v>
      </c>
      <c r="D46" s="67">
        <v>369.0</v>
      </c>
      <c r="E46" s="66" t="s">
        <v>33</v>
      </c>
      <c r="F46" s="86"/>
      <c r="G46" s="97" t="s">
        <v>26</v>
      </c>
      <c r="H46" s="88" t="s">
        <v>87</v>
      </c>
      <c r="I46" s="63" t="s">
        <v>88</v>
      </c>
    </row>
    <row r="47" ht="15.75" customHeight="1">
      <c r="A47" s="66">
        <v>30.0</v>
      </c>
      <c r="B47" s="66" t="s">
        <v>34</v>
      </c>
      <c r="C47" s="66" t="s">
        <v>46</v>
      </c>
      <c r="D47" s="67">
        <v>0.0</v>
      </c>
      <c r="E47" s="66" t="s">
        <v>35</v>
      </c>
      <c r="F47" s="86"/>
      <c r="G47" s="87" t="s">
        <v>16</v>
      </c>
      <c r="H47" s="88" t="s">
        <v>87</v>
      </c>
      <c r="I47" s="89" t="s">
        <v>36</v>
      </c>
    </row>
    <row r="48" ht="15.75" customHeight="1">
      <c r="A48" s="66"/>
      <c r="B48" s="66" t="s">
        <v>37</v>
      </c>
      <c r="C48" s="66" t="s">
        <v>46</v>
      </c>
      <c r="D48" s="67"/>
      <c r="E48" s="66" t="s">
        <v>12</v>
      </c>
      <c r="F48" s="86"/>
      <c r="G48" s="98" t="s">
        <v>105</v>
      </c>
      <c r="H48" s="88" t="s">
        <v>87</v>
      </c>
      <c r="I48" s="89" t="s">
        <v>111</v>
      </c>
    </row>
    <row r="49" ht="15.75" customHeight="1">
      <c r="A49" s="66"/>
      <c r="B49" s="66" t="s">
        <v>37</v>
      </c>
      <c r="C49" s="67" t="s">
        <v>112</v>
      </c>
      <c r="D49" s="67">
        <v>0.0</v>
      </c>
      <c r="E49" s="66" t="s">
        <v>12</v>
      </c>
      <c r="F49" s="86"/>
      <c r="G49" s="87" t="s">
        <v>26</v>
      </c>
      <c r="H49" s="88" t="s">
        <v>87</v>
      </c>
      <c r="I49" s="89" t="s">
        <v>113</v>
      </c>
    </row>
    <row r="50" ht="15.75" customHeight="1">
      <c r="A50" s="66"/>
      <c r="B50" s="66" t="s">
        <v>114</v>
      </c>
      <c r="C50" s="67" t="s">
        <v>112</v>
      </c>
      <c r="D50" s="67">
        <v>0.0</v>
      </c>
      <c r="E50" s="66" t="s">
        <v>12</v>
      </c>
      <c r="F50" s="86"/>
      <c r="G50" s="87" t="s">
        <v>26</v>
      </c>
      <c r="H50" s="88" t="s">
        <v>87</v>
      </c>
      <c r="I50" s="89" t="s">
        <v>113</v>
      </c>
    </row>
    <row r="51" ht="15.75" customHeight="1">
      <c r="A51" s="20"/>
      <c r="B51" s="20"/>
      <c r="C51" s="20"/>
      <c r="D51" s="21"/>
      <c r="E51" s="20"/>
      <c r="F51" s="20"/>
      <c r="G51" s="20"/>
      <c r="H51" s="76"/>
      <c r="I51" s="76"/>
    </row>
    <row r="52" ht="15.75" customHeight="1">
      <c r="A52" s="20"/>
      <c r="B52" s="20"/>
      <c r="C52" s="20"/>
      <c r="D52" s="21"/>
      <c r="E52" s="20"/>
      <c r="F52" s="20"/>
      <c r="G52" s="20"/>
      <c r="H52" s="76"/>
      <c r="I52" s="76"/>
    </row>
    <row r="53" ht="15.75" customHeight="1">
      <c r="A53" s="20"/>
      <c r="B53" s="20"/>
      <c r="C53" s="20"/>
      <c r="D53" s="21"/>
      <c r="E53" s="20"/>
      <c r="F53" s="20"/>
      <c r="G53" s="20"/>
      <c r="H53" s="76"/>
      <c r="I53" s="76"/>
    </row>
    <row r="54" ht="15.75" customHeight="1">
      <c r="A54" s="20"/>
      <c r="B54" s="20"/>
      <c r="C54" s="20"/>
      <c r="D54" s="21"/>
      <c r="E54" s="20"/>
      <c r="F54" s="20"/>
      <c r="G54" s="20"/>
      <c r="H54" s="76"/>
      <c r="I54" s="76"/>
    </row>
    <row r="55" ht="15.75" customHeight="1">
      <c r="A55" s="20"/>
      <c r="B55" s="20"/>
      <c r="C55" s="20"/>
      <c r="D55" s="21"/>
      <c r="E55" s="20"/>
      <c r="F55" s="20"/>
      <c r="G55" s="20"/>
      <c r="H55" s="76"/>
      <c r="I55" s="76"/>
    </row>
    <row r="56" ht="15.75" customHeight="1">
      <c r="A56" s="20"/>
      <c r="B56" s="20"/>
      <c r="C56" s="20"/>
      <c r="D56" s="21"/>
      <c r="E56" s="20"/>
      <c r="F56" s="20"/>
      <c r="G56" s="20"/>
      <c r="H56" s="76"/>
      <c r="I56" s="76"/>
    </row>
    <row r="57" ht="15.75" customHeight="1">
      <c r="A57" s="20"/>
      <c r="B57" s="20"/>
      <c r="C57" s="20"/>
      <c r="D57" s="21"/>
      <c r="E57" s="20"/>
      <c r="F57" s="20"/>
      <c r="G57" s="20"/>
      <c r="H57" s="76"/>
      <c r="I57" s="76"/>
    </row>
    <row r="58" ht="15.75" customHeight="1">
      <c r="A58" s="20"/>
      <c r="B58" s="20"/>
      <c r="C58" s="20"/>
      <c r="D58" s="21"/>
      <c r="E58" s="20"/>
      <c r="F58" s="20"/>
      <c r="G58" s="20"/>
      <c r="H58" s="76"/>
      <c r="I58" s="76"/>
    </row>
    <row r="59" ht="15.75" customHeight="1">
      <c r="A59" s="20"/>
      <c r="B59" s="20"/>
      <c r="C59" s="20"/>
      <c r="D59" s="21"/>
      <c r="E59" s="20"/>
      <c r="F59" s="20"/>
      <c r="G59" s="20"/>
      <c r="H59" s="76"/>
      <c r="I59" s="76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autoFilter ref="$A$27:$I$50">
    <sortState ref="A27:I50">
      <sortCondition ref="A27:A50"/>
    </sortState>
  </autoFilter>
  <mergeCells count="4">
    <mergeCell ref="B1:H1"/>
    <mergeCell ref="K1:L1"/>
    <mergeCell ref="K2:L2"/>
    <mergeCell ref="A26:G26"/>
  </mergeCells>
  <hyperlinks>
    <hyperlink r:id="rId1" ref="F29"/>
    <hyperlink r:id="rId2" ref="F30"/>
    <hyperlink r:id="rId3" ref="F31"/>
    <hyperlink r:id="rId4" ref="F32"/>
    <hyperlink r:id="rId5" ref="F33"/>
    <hyperlink r:id="rId6" ref="F34"/>
    <hyperlink r:id="rId7" ref="F35"/>
    <hyperlink r:id="rId8" ref="F36"/>
    <hyperlink r:id="rId9" ref="F37"/>
    <hyperlink r:id="rId10" ref="F38"/>
    <hyperlink r:id="rId11" ref="F39"/>
    <hyperlink r:id="rId12" ref="F40"/>
    <hyperlink r:id="rId13" ref="F41"/>
    <hyperlink r:id="rId14" ref="F42"/>
  </hyperlinks>
  <printOptions/>
  <pageMargins bottom="1.0" footer="0.0" header="0.0" left="0.75" right="0.75" top="1.0"/>
  <pageSetup paperSize="9" orientation="portrait"/>
  <drawing r:id="rId1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6.0"/>
    <col customWidth="1" min="10" max="10" width="2.0"/>
    <col customWidth="1" min="11" max="11" width="10.0"/>
    <col customWidth="1" min="12" max="12" width="12.0"/>
    <col customWidth="1" min="13" max="28" width="8.71"/>
  </cols>
  <sheetData>
    <row r="1" ht="39.75" customHeight="1">
      <c r="A1" s="29"/>
      <c r="B1" s="28">
        <v>46023.0</v>
      </c>
      <c r="I1" s="29"/>
      <c r="K1" s="99" t="s">
        <v>70</v>
      </c>
      <c r="L1" s="4"/>
    </row>
    <row r="2" ht="21.75" customHeight="1">
      <c r="A2" s="78"/>
      <c r="B2" s="32" t="s">
        <v>63</v>
      </c>
      <c r="C2" s="32" t="s">
        <v>64</v>
      </c>
      <c r="D2" s="32" t="s">
        <v>65</v>
      </c>
      <c r="E2" s="32" t="s">
        <v>66</v>
      </c>
      <c r="F2" s="32" t="s">
        <v>67</v>
      </c>
      <c r="G2" s="32" t="s">
        <v>68</v>
      </c>
      <c r="H2" s="32" t="s">
        <v>69</v>
      </c>
      <c r="I2" s="33"/>
      <c r="K2" s="100" t="s">
        <v>71</v>
      </c>
      <c r="L2" s="101">
        <f>SUMIF(C26:C49,"Fixed",D28:D49)</f>
        <v>0</v>
      </c>
    </row>
    <row r="3" ht="18.0" customHeight="1">
      <c r="A3" s="35"/>
      <c r="B3" s="36"/>
      <c r="C3" s="36"/>
      <c r="D3" s="36"/>
      <c r="E3" s="47">
        <v>1.0</v>
      </c>
      <c r="F3" s="47">
        <v>2.0</v>
      </c>
      <c r="G3" s="37">
        <v>3.0</v>
      </c>
      <c r="H3" s="37">
        <v>4.0</v>
      </c>
      <c r="I3" s="38"/>
      <c r="K3" s="102" t="s">
        <v>72</v>
      </c>
      <c r="L3" s="101">
        <f>SUMIF(C26:C49,"Extra",D28:D49)</f>
        <v>0</v>
      </c>
    </row>
    <row r="4" ht="18.0" customHeight="1">
      <c r="A4" s="35"/>
      <c r="B4" s="36"/>
      <c r="C4" s="36"/>
      <c r="D4" s="36"/>
      <c r="E4" s="36"/>
      <c r="F4" s="36"/>
      <c r="G4" s="41"/>
      <c r="H4" s="41"/>
      <c r="I4" s="42"/>
      <c r="K4" s="102" t="s">
        <v>73</v>
      </c>
      <c r="L4" s="101">
        <f>SUMIF(C26:C49,"One-off",D28:D49)</f>
        <v>0</v>
      </c>
    </row>
    <row r="5" ht="18.0" customHeight="1">
      <c r="A5" s="35"/>
      <c r="B5" s="36"/>
      <c r="C5" s="36"/>
      <c r="D5" s="36"/>
      <c r="E5" s="36"/>
      <c r="F5" s="36"/>
      <c r="G5" s="41"/>
      <c r="H5" s="41"/>
      <c r="I5" s="42"/>
      <c r="K5" s="103" t="s">
        <v>74</v>
      </c>
      <c r="L5" s="104">
        <f>SUM(L2:L4)</f>
        <v>0</v>
      </c>
    </row>
    <row r="6" ht="18.0" customHeight="1">
      <c r="A6" s="35"/>
      <c r="B6" s="36"/>
      <c r="C6" s="36"/>
      <c r="D6" s="36"/>
      <c r="E6" s="49"/>
      <c r="F6" s="49"/>
      <c r="G6" s="41"/>
      <c r="H6" s="41"/>
      <c r="I6" s="42"/>
    </row>
    <row r="7" ht="18.0" customHeight="1">
      <c r="A7" s="79"/>
      <c r="B7" s="47">
        <v>5.0</v>
      </c>
      <c r="C7" s="47">
        <v>6.0</v>
      </c>
      <c r="D7" s="47">
        <v>7.0</v>
      </c>
      <c r="E7" s="47">
        <v>8.0</v>
      </c>
      <c r="F7" s="47">
        <v>9.0</v>
      </c>
      <c r="G7" s="37">
        <v>10.0</v>
      </c>
      <c r="H7" s="37">
        <v>11.0</v>
      </c>
      <c r="I7" s="38"/>
    </row>
    <row r="8" ht="18.0" customHeight="1">
      <c r="A8" s="48"/>
      <c r="B8" s="49"/>
      <c r="C8" s="49"/>
      <c r="D8" s="49"/>
      <c r="E8" s="49"/>
      <c r="F8" s="49"/>
      <c r="G8" s="41"/>
      <c r="H8" s="41"/>
      <c r="I8" s="42"/>
    </row>
    <row r="9" ht="18.0" customHeight="1">
      <c r="A9" s="48"/>
      <c r="B9" s="49"/>
      <c r="C9" s="49"/>
      <c r="D9" s="49"/>
      <c r="E9" s="49"/>
      <c r="F9" s="49"/>
      <c r="G9" s="41"/>
      <c r="H9" s="41"/>
      <c r="I9" s="42"/>
    </row>
    <row r="10" ht="18.0" customHeight="1">
      <c r="A10" s="48"/>
      <c r="B10" s="49"/>
      <c r="C10" s="49"/>
      <c r="D10" s="49"/>
      <c r="E10" s="49"/>
      <c r="F10" s="49"/>
      <c r="G10" s="41"/>
      <c r="H10" s="41"/>
      <c r="I10" s="42"/>
    </row>
    <row r="11" ht="18.0" customHeight="1">
      <c r="A11" s="79"/>
      <c r="B11" s="47">
        <v>12.0</v>
      </c>
      <c r="C11" s="47">
        <v>13.0</v>
      </c>
      <c r="D11" s="47">
        <v>14.0</v>
      </c>
      <c r="E11" s="47">
        <v>15.0</v>
      </c>
      <c r="F11" s="47">
        <v>16.0</v>
      </c>
      <c r="G11" s="37">
        <v>17.0</v>
      </c>
      <c r="H11" s="37">
        <v>18.0</v>
      </c>
      <c r="I11" s="38"/>
    </row>
    <row r="12" ht="18.0" customHeight="1">
      <c r="A12" s="48"/>
      <c r="B12" s="49"/>
      <c r="C12" s="36"/>
      <c r="D12" s="36"/>
      <c r="E12" s="36"/>
      <c r="F12" s="36"/>
      <c r="G12" s="41"/>
      <c r="H12" s="41"/>
      <c r="I12" s="42"/>
    </row>
    <row r="13" ht="18.0" customHeight="1">
      <c r="A13" s="48"/>
      <c r="B13" s="49"/>
      <c r="C13" s="36"/>
      <c r="D13" s="36"/>
      <c r="E13" s="36"/>
      <c r="F13" s="36"/>
      <c r="G13" s="41"/>
      <c r="H13" s="41"/>
      <c r="I13" s="42"/>
    </row>
    <row r="14" ht="18.0" customHeight="1">
      <c r="A14" s="48"/>
      <c r="B14" s="49"/>
      <c r="C14" s="49"/>
      <c r="D14" s="49"/>
      <c r="E14" s="49"/>
      <c r="F14" s="49"/>
      <c r="G14" s="41"/>
      <c r="H14" s="41"/>
      <c r="I14" s="42"/>
    </row>
    <row r="15" ht="18.0" customHeight="1">
      <c r="A15" s="79"/>
      <c r="B15" s="47">
        <v>19.0</v>
      </c>
      <c r="C15" s="47">
        <v>20.0</v>
      </c>
      <c r="D15" s="47">
        <v>21.0</v>
      </c>
      <c r="E15" s="47">
        <v>22.0</v>
      </c>
      <c r="F15" s="47">
        <v>23.0</v>
      </c>
      <c r="G15" s="37">
        <v>24.0</v>
      </c>
      <c r="H15" s="37">
        <v>25.0</v>
      </c>
      <c r="I15" s="38"/>
    </row>
    <row r="16" ht="18.0" customHeight="1">
      <c r="A16" s="48"/>
      <c r="B16" s="49"/>
      <c r="C16" s="49"/>
      <c r="D16" s="49"/>
      <c r="E16" s="49"/>
      <c r="F16" s="36"/>
      <c r="G16" s="41"/>
      <c r="H16" s="41"/>
      <c r="I16" s="42"/>
    </row>
    <row r="17" ht="18.0" customHeight="1">
      <c r="A17" s="48"/>
      <c r="B17" s="49"/>
      <c r="C17" s="49"/>
      <c r="D17" s="49"/>
      <c r="E17" s="49"/>
      <c r="F17" s="49"/>
      <c r="G17" s="41"/>
      <c r="H17" s="41"/>
      <c r="I17" s="42"/>
    </row>
    <row r="18" ht="18.0" customHeight="1">
      <c r="A18" s="48"/>
      <c r="B18" s="49"/>
      <c r="C18" s="49"/>
      <c r="D18" s="49"/>
      <c r="E18" s="49"/>
      <c r="F18" s="49"/>
      <c r="G18" s="41"/>
      <c r="H18" s="41"/>
      <c r="I18" s="42"/>
    </row>
    <row r="19" ht="18.0" customHeight="1">
      <c r="A19" s="79"/>
      <c r="B19" s="47">
        <v>26.0</v>
      </c>
      <c r="C19" s="47">
        <v>27.0</v>
      </c>
      <c r="D19" s="47">
        <v>28.0</v>
      </c>
      <c r="E19" s="47">
        <v>29.0</v>
      </c>
      <c r="F19" s="47">
        <v>30.0</v>
      </c>
      <c r="G19" s="37">
        <v>31.0</v>
      </c>
      <c r="H19" s="36"/>
      <c r="I19" s="85"/>
    </row>
    <row r="20" ht="18.0" customHeight="1">
      <c r="A20" s="35"/>
      <c r="B20" s="36"/>
      <c r="C20" s="49"/>
      <c r="D20" s="49"/>
      <c r="E20" s="49"/>
      <c r="F20" s="49"/>
      <c r="G20" s="41"/>
      <c r="H20" s="36"/>
      <c r="I20" s="85"/>
    </row>
    <row r="21" ht="18.0" customHeight="1">
      <c r="A21" s="35"/>
      <c r="B21" s="36"/>
      <c r="C21" s="49"/>
      <c r="D21" s="49"/>
      <c r="E21" s="49"/>
      <c r="F21" s="49"/>
      <c r="G21" s="41"/>
      <c r="H21" s="36"/>
      <c r="I21" s="85"/>
    </row>
    <row r="22" ht="18.0" customHeight="1">
      <c r="A22" s="48"/>
      <c r="B22" s="49"/>
      <c r="C22" s="49"/>
      <c r="D22" s="49"/>
      <c r="E22" s="49"/>
      <c r="F22" s="49"/>
      <c r="G22" s="41"/>
      <c r="H22" s="36"/>
      <c r="I22" s="85"/>
    </row>
    <row r="23" ht="15.75" customHeight="1"/>
    <row r="24" ht="15.75" customHeight="1">
      <c r="A24" s="56" t="s">
        <v>80</v>
      </c>
      <c r="B24" s="3"/>
      <c r="C24" s="3"/>
      <c r="D24" s="3"/>
      <c r="E24" s="3"/>
      <c r="F24" s="3"/>
      <c r="G24" s="4"/>
      <c r="H24" s="57"/>
      <c r="I24" s="57"/>
    </row>
    <row r="25" ht="15.75" customHeight="1">
      <c r="A25" s="18" t="s">
        <v>81</v>
      </c>
      <c r="B25" s="18" t="s">
        <v>2</v>
      </c>
      <c r="C25" s="18" t="s">
        <v>82</v>
      </c>
      <c r="D25" s="18" t="s">
        <v>83</v>
      </c>
      <c r="E25" s="18" t="s">
        <v>3</v>
      </c>
      <c r="F25" s="19" t="s">
        <v>84</v>
      </c>
      <c r="G25" s="19" t="s">
        <v>9</v>
      </c>
      <c r="H25" s="8" t="s">
        <v>85</v>
      </c>
      <c r="I25" s="8" t="s">
        <v>10</v>
      </c>
    </row>
    <row r="26" ht="15.75" customHeight="1">
      <c r="A26" s="20"/>
      <c r="B26" s="20"/>
      <c r="C26" s="20"/>
      <c r="D26" s="21"/>
      <c r="E26" s="20"/>
      <c r="F26" s="20"/>
      <c r="G26" s="20"/>
      <c r="H26" s="76"/>
      <c r="I26" s="76"/>
    </row>
    <row r="27" ht="15.75" customHeight="1">
      <c r="A27" s="20"/>
      <c r="B27" s="20"/>
      <c r="C27" s="20"/>
      <c r="D27" s="21"/>
      <c r="E27" s="20"/>
      <c r="F27" s="20"/>
      <c r="G27" s="20"/>
      <c r="H27" s="76"/>
      <c r="I27" s="76"/>
    </row>
    <row r="28" ht="15.75" customHeight="1">
      <c r="A28" s="20"/>
      <c r="B28" s="20"/>
      <c r="C28" s="20"/>
      <c r="D28" s="21"/>
      <c r="E28" s="20"/>
      <c r="F28" s="20"/>
      <c r="G28" s="20"/>
      <c r="H28" s="76"/>
      <c r="I28" s="76"/>
    </row>
    <row r="29" ht="15.75" customHeight="1">
      <c r="A29" s="20"/>
      <c r="B29" s="20"/>
      <c r="C29" s="20"/>
      <c r="D29" s="21"/>
      <c r="E29" s="20"/>
      <c r="F29" s="20"/>
      <c r="G29" s="20"/>
      <c r="H29" s="76"/>
      <c r="I29" s="76"/>
    </row>
    <row r="30" ht="15.75" customHeight="1">
      <c r="A30" s="20"/>
      <c r="B30" s="20"/>
      <c r="C30" s="20"/>
      <c r="D30" s="21"/>
      <c r="E30" s="20"/>
      <c r="F30" s="20"/>
      <c r="G30" s="20"/>
      <c r="H30" s="76"/>
      <c r="I30" s="76"/>
    </row>
    <row r="31" ht="15.75" customHeight="1">
      <c r="A31" s="20"/>
      <c r="B31" s="20"/>
      <c r="C31" s="20"/>
      <c r="D31" s="21"/>
      <c r="E31" s="20"/>
      <c r="F31" s="20"/>
      <c r="G31" s="20"/>
      <c r="H31" s="76"/>
      <c r="I31" s="76"/>
    </row>
    <row r="32" ht="15.75" customHeight="1">
      <c r="A32" s="20"/>
      <c r="B32" s="20"/>
      <c r="C32" s="20"/>
      <c r="D32" s="21"/>
      <c r="E32" s="20"/>
      <c r="F32" s="20"/>
      <c r="G32" s="20"/>
      <c r="H32" s="76"/>
      <c r="I32" s="76"/>
    </row>
    <row r="33" ht="15.75" customHeight="1">
      <c r="A33" s="20"/>
      <c r="B33" s="20"/>
      <c r="C33" s="20"/>
      <c r="D33" s="21"/>
      <c r="E33" s="20"/>
      <c r="F33" s="20"/>
      <c r="G33" s="20"/>
      <c r="H33" s="76"/>
      <c r="I33" s="76"/>
    </row>
    <row r="34" ht="15.75" customHeight="1">
      <c r="A34" s="20"/>
      <c r="B34" s="20"/>
      <c r="C34" s="20"/>
      <c r="D34" s="21"/>
      <c r="E34" s="20"/>
      <c r="F34" s="20"/>
      <c r="G34" s="20"/>
      <c r="H34" s="76"/>
      <c r="I34" s="76"/>
    </row>
    <row r="35" ht="15.75" customHeight="1">
      <c r="A35" s="20"/>
      <c r="B35" s="20"/>
      <c r="C35" s="20"/>
      <c r="D35" s="21"/>
      <c r="E35" s="20"/>
      <c r="F35" s="20"/>
      <c r="G35" s="20"/>
      <c r="H35" s="76"/>
      <c r="I35" s="76"/>
    </row>
    <row r="36" ht="15.75" customHeight="1">
      <c r="A36" s="20"/>
      <c r="B36" s="20"/>
      <c r="C36" s="20"/>
      <c r="D36" s="21"/>
      <c r="E36" s="20"/>
      <c r="F36" s="20"/>
      <c r="G36" s="20"/>
      <c r="H36" s="76"/>
      <c r="I36" s="76"/>
    </row>
    <row r="37" ht="15.75" customHeight="1">
      <c r="A37" s="20"/>
      <c r="B37" s="20"/>
      <c r="C37" s="20"/>
      <c r="D37" s="21"/>
      <c r="E37" s="20"/>
      <c r="F37" s="20"/>
      <c r="G37" s="20"/>
      <c r="H37" s="76"/>
      <c r="I37" s="76"/>
    </row>
    <row r="38" ht="15.75" customHeight="1">
      <c r="A38" s="20"/>
      <c r="B38" s="20"/>
      <c r="C38" s="20"/>
      <c r="D38" s="21"/>
      <c r="E38" s="20"/>
      <c r="F38" s="20"/>
      <c r="G38" s="20"/>
      <c r="H38" s="76"/>
      <c r="I38" s="76"/>
    </row>
    <row r="39" ht="15.75" customHeight="1">
      <c r="A39" s="20"/>
      <c r="B39" s="20"/>
      <c r="C39" s="20"/>
      <c r="D39" s="21"/>
      <c r="E39" s="20"/>
      <c r="F39" s="20"/>
      <c r="G39" s="20"/>
      <c r="H39" s="76"/>
      <c r="I39" s="76"/>
    </row>
    <row r="40" ht="15.75" customHeight="1">
      <c r="A40" s="20"/>
      <c r="B40" s="20"/>
      <c r="C40" s="20"/>
      <c r="D40" s="21"/>
      <c r="E40" s="20"/>
      <c r="F40" s="20"/>
      <c r="G40" s="20"/>
      <c r="H40" s="76"/>
      <c r="I40" s="76"/>
    </row>
    <row r="41" ht="15.75" customHeight="1">
      <c r="A41" s="20"/>
      <c r="B41" s="20"/>
      <c r="C41" s="20"/>
      <c r="D41" s="21"/>
      <c r="E41" s="20"/>
      <c r="F41" s="20"/>
      <c r="G41" s="20"/>
      <c r="H41" s="76"/>
      <c r="I41" s="76"/>
    </row>
    <row r="42" ht="15.75" customHeight="1">
      <c r="A42" s="20"/>
      <c r="B42" s="20"/>
      <c r="C42" s="20"/>
      <c r="D42" s="21"/>
      <c r="E42" s="20"/>
      <c r="F42" s="20"/>
      <c r="G42" s="20"/>
      <c r="H42" s="76"/>
      <c r="I42" s="76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5:$I$25">
    <sortState ref="A25:I25">
      <sortCondition ref="A25"/>
    </sortState>
  </autoFilter>
  <mergeCells count="3">
    <mergeCell ref="B1:H1"/>
    <mergeCell ref="K1:L1"/>
    <mergeCell ref="A24:G24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6.0"/>
    <col customWidth="1" min="10" max="10" width="2.0"/>
    <col customWidth="1" min="11" max="11" width="10.0"/>
    <col customWidth="1" min="12" max="12" width="12.0"/>
    <col customWidth="1" min="13" max="28" width="8.71"/>
  </cols>
  <sheetData>
    <row r="1" ht="39.75" customHeight="1">
      <c r="A1" s="29"/>
      <c r="B1" s="77" t="s">
        <v>115</v>
      </c>
      <c r="I1" s="29"/>
      <c r="K1" s="99" t="s">
        <v>70</v>
      </c>
      <c r="L1" s="4"/>
    </row>
    <row r="2" ht="21.75" customHeight="1">
      <c r="A2" s="78"/>
      <c r="B2" s="32" t="s">
        <v>63</v>
      </c>
      <c r="C2" s="32" t="s">
        <v>64</v>
      </c>
      <c r="D2" s="32" t="s">
        <v>65</v>
      </c>
      <c r="E2" s="32" t="s">
        <v>66</v>
      </c>
      <c r="F2" s="32" t="s">
        <v>67</v>
      </c>
      <c r="G2" s="32" t="s">
        <v>68</v>
      </c>
      <c r="H2" s="32" t="s">
        <v>69</v>
      </c>
      <c r="I2" s="33"/>
      <c r="K2" s="100" t="s">
        <v>71</v>
      </c>
      <c r="L2" s="101">
        <f>SUMIF(C25:C42,"Fixed",D25:D42)</f>
        <v>0</v>
      </c>
    </row>
    <row r="3" ht="18.0" customHeight="1">
      <c r="A3" s="35"/>
      <c r="B3" s="36"/>
      <c r="C3" s="36"/>
      <c r="D3" s="36"/>
      <c r="E3" s="36"/>
      <c r="F3" s="36"/>
      <c r="G3" s="36"/>
      <c r="H3" s="37">
        <v>1.0</v>
      </c>
      <c r="I3" s="38"/>
      <c r="K3" s="102" t="s">
        <v>72</v>
      </c>
      <c r="L3" s="101">
        <f>SUMIF(C26:C42,"Extra",D26:D42)</f>
        <v>0</v>
      </c>
    </row>
    <row r="4" ht="18.0" customHeight="1">
      <c r="A4" s="35"/>
      <c r="B4" s="36"/>
      <c r="C4" s="36"/>
      <c r="D4" s="36"/>
      <c r="E4" s="36"/>
      <c r="F4" s="36"/>
      <c r="G4" s="36"/>
      <c r="H4" s="41"/>
      <c r="I4" s="42"/>
      <c r="K4" s="102" t="s">
        <v>73</v>
      </c>
      <c r="L4" s="101">
        <f>SUMIF(C26:C42,"One-off",D26:D42)</f>
        <v>0</v>
      </c>
    </row>
    <row r="5" ht="18.0" customHeight="1">
      <c r="A5" s="35"/>
      <c r="B5" s="36"/>
      <c r="C5" s="36"/>
      <c r="D5" s="36"/>
      <c r="E5" s="36"/>
      <c r="F5" s="36"/>
      <c r="G5" s="36"/>
      <c r="H5" s="41"/>
      <c r="I5" s="42"/>
      <c r="K5" s="103" t="s">
        <v>74</v>
      </c>
      <c r="L5" s="104">
        <f>SUM(L2:L4)</f>
        <v>0</v>
      </c>
    </row>
    <row r="6" ht="18.0" customHeight="1">
      <c r="A6" s="35"/>
      <c r="B6" s="36"/>
      <c r="C6" s="36"/>
      <c r="D6" s="36"/>
      <c r="E6" s="36"/>
      <c r="F6" s="36"/>
      <c r="G6" s="36"/>
      <c r="H6" s="41"/>
      <c r="I6" s="42"/>
    </row>
    <row r="7" ht="18.0" customHeight="1">
      <c r="A7" s="79"/>
      <c r="B7" s="47">
        <v>2.0</v>
      </c>
      <c r="C7" s="47">
        <v>3.0</v>
      </c>
      <c r="D7" s="47">
        <v>4.0</v>
      </c>
      <c r="E7" s="47">
        <v>5.0</v>
      </c>
      <c r="F7" s="47">
        <v>6.0</v>
      </c>
      <c r="G7" s="37">
        <v>7.0</v>
      </c>
      <c r="H7" s="37">
        <v>8.0</v>
      </c>
      <c r="I7" s="38"/>
    </row>
    <row r="8" ht="18.0" customHeight="1">
      <c r="A8" s="48"/>
      <c r="B8" s="49"/>
      <c r="C8" s="49"/>
      <c r="D8" s="49"/>
      <c r="E8" s="49"/>
      <c r="F8" s="49"/>
      <c r="G8" s="41"/>
      <c r="H8" s="41"/>
      <c r="I8" s="42"/>
    </row>
    <row r="9" ht="18.0" customHeight="1">
      <c r="A9" s="48"/>
      <c r="B9" s="49"/>
      <c r="C9" s="49"/>
      <c r="D9" s="49"/>
      <c r="E9" s="49"/>
      <c r="F9" s="49"/>
      <c r="G9" s="41"/>
      <c r="H9" s="41"/>
      <c r="I9" s="42"/>
    </row>
    <row r="10" ht="18.0" customHeight="1">
      <c r="A10" s="48"/>
      <c r="B10" s="49"/>
      <c r="C10" s="49"/>
      <c r="D10" s="49"/>
      <c r="E10" s="49"/>
      <c r="F10" s="49"/>
      <c r="G10" s="41"/>
      <c r="H10" s="41"/>
      <c r="I10" s="42"/>
    </row>
    <row r="11" ht="18.0" customHeight="1">
      <c r="A11" s="79"/>
      <c r="B11" s="47">
        <v>9.0</v>
      </c>
      <c r="C11" s="47">
        <v>10.0</v>
      </c>
      <c r="D11" s="47">
        <v>11.0</v>
      </c>
      <c r="E11" s="47">
        <v>12.0</v>
      </c>
      <c r="F11" s="47">
        <v>13.0</v>
      </c>
      <c r="G11" s="37">
        <v>14.0</v>
      </c>
      <c r="H11" s="37">
        <v>15.0</v>
      </c>
      <c r="I11" s="38"/>
    </row>
    <row r="12" ht="18.0" customHeight="1">
      <c r="A12" s="48"/>
      <c r="B12" s="49"/>
      <c r="C12" s="49"/>
      <c r="D12" s="49"/>
      <c r="E12" s="49"/>
      <c r="F12" s="49"/>
      <c r="G12" s="41"/>
      <c r="H12" s="41"/>
      <c r="I12" s="42"/>
    </row>
    <row r="13" ht="18.0" customHeight="1">
      <c r="A13" s="48"/>
      <c r="B13" s="49"/>
      <c r="C13" s="49"/>
      <c r="D13" s="49"/>
      <c r="E13" s="49"/>
      <c r="F13" s="49"/>
      <c r="G13" s="41"/>
      <c r="H13" s="41"/>
      <c r="I13" s="42"/>
    </row>
    <row r="14" ht="18.0" customHeight="1">
      <c r="A14" s="48"/>
      <c r="B14" s="49"/>
      <c r="C14" s="49"/>
      <c r="D14" s="49"/>
      <c r="E14" s="49"/>
      <c r="F14" s="49"/>
      <c r="G14" s="41"/>
      <c r="H14" s="41"/>
      <c r="I14" s="42"/>
    </row>
    <row r="15" ht="18.0" customHeight="1">
      <c r="A15" s="79"/>
      <c r="B15" s="47">
        <v>16.0</v>
      </c>
      <c r="C15" s="47">
        <v>17.0</v>
      </c>
      <c r="D15" s="47">
        <v>18.0</v>
      </c>
      <c r="E15" s="47">
        <v>19.0</v>
      </c>
      <c r="F15" s="47">
        <v>20.0</v>
      </c>
      <c r="G15" s="37">
        <v>21.0</v>
      </c>
      <c r="H15" s="37">
        <v>22.0</v>
      </c>
      <c r="I15" s="38"/>
    </row>
    <row r="16" ht="18.0" customHeight="1">
      <c r="A16" s="48"/>
      <c r="B16" s="49"/>
      <c r="C16" s="49"/>
      <c r="D16" s="49"/>
      <c r="E16" s="49"/>
      <c r="F16" s="49"/>
      <c r="G16" s="41"/>
      <c r="H16" s="41"/>
      <c r="I16" s="42"/>
    </row>
    <row r="17" ht="18.0" customHeight="1">
      <c r="A17" s="48"/>
      <c r="B17" s="49"/>
      <c r="C17" s="49"/>
      <c r="D17" s="49"/>
      <c r="E17" s="49"/>
      <c r="F17" s="49"/>
      <c r="G17" s="41"/>
      <c r="H17" s="41"/>
      <c r="I17" s="42"/>
    </row>
    <row r="18" ht="18.0" customHeight="1">
      <c r="A18" s="48"/>
      <c r="B18" s="49"/>
      <c r="C18" s="49"/>
      <c r="D18" s="49"/>
      <c r="E18" s="49"/>
      <c r="F18" s="49"/>
      <c r="G18" s="41"/>
      <c r="H18" s="41"/>
      <c r="I18" s="42"/>
    </row>
    <row r="19" ht="18.0" customHeight="1">
      <c r="A19" s="79"/>
      <c r="B19" s="47">
        <v>23.0</v>
      </c>
      <c r="C19" s="47">
        <v>24.0</v>
      </c>
      <c r="D19" s="47">
        <v>25.0</v>
      </c>
      <c r="E19" s="47">
        <v>26.0</v>
      </c>
      <c r="F19" s="47">
        <v>27.0</v>
      </c>
      <c r="G19" s="37">
        <v>28.0</v>
      </c>
      <c r="H19" s="36"/>
      <c r="I19" s="85"/>
    </row>
    <row r="20" ht="18.0" customHeight="1">
      <c r="A20" s="48"/>
      <c r="B20" s="49"/>
      <c r="C20" s="49"/>
      <c r="D20" s="49"/>
      <c r="E20" s="49"/>
      <c r="F20" s="49"/>
      <c r="G20" s="41"/>
      <c r="H20" s="36"/>
      <c r="I20" s="85"/>
    </row>
    <row r="21" ht="18.0" customHeight="1">
      <c r="A21" s="48"/>
      <c r="B21" s="49"/>
      <c r="C21" s="49"/>
      <c r="D21" s="49"/>
      <c r="E21" s="49"/>
      <c r="F21" s="49"/>
      <c r="G21" s="41"/>
      <c r="H21" s="36"/>
      <c r="I21" s="85"/>
    </row>
    <row r="22" ht="18.0" customHeight="1">
      <c r="A22" s="48"/>
      <c r="B22" s="49"/>
      <c r="C22" s="49"/>
      <c r="D22" s="49"/>
      <c r="E22" s="49"/>
      <c r="F22" s="49"/>
      <c r="G22" s="41"/>
      <c r="H22" s="36"/>
      <c r="I22" s="85"/>
    </row>
    <row r="23" ht="15.75" customHeight="1"/>
    <row r="24" ht="15.75" customHeight="1">
      <c r="A24" s="56" t="s">
        <v>80</v>
      </c>
      <c r="B24" s="3"/>
      <c r="C24" s="3"/>
      <c r="D24" s="3"/>
      <c r="E24" s="3"/>
      <c r="F24" s="3"/>
      <c r="G24" s="4"/>
      <c r="H24" s="57"/>
      <c r="I24" s="57"/>
    </row>
    <row r="25" ht="15.75" customHeight="1">
      <c r="A25" s="18" t="s">
        <v>81</v>
      </c>
      <c r="B25" s="18" t="s">
        <v>2</v>
      </c>
      <c r="C25" s="18" t="s">
        <v>82</v>
      </c>
      <c r="D25" s="18" t="s">
        <v>83</v>
      </c>
      <c r="E25" s="18" t="s">
        <v>3</v>
      </c>
      <c r="F25" s="19" t="s">
        <v>84</v>
      </c>
      <c r="G25" s="19" t="s">
        <v>9</v>
      </c>
      <c r="H25" s="8" t="s">
        <v>116</v>
      </c>
      <c r="I25" s="8" t="s">
        <v>10</v>
      </c>
    </row>
    <row r="26" ht="15.75" customHeight="1">
      <c r="A26" s="20"/>
      <c r="B26" s="20"/>
      <c r="C26" s="20"/>
      <c r="D26" s="21"/>
      <c r="E26" s="20"/>
      <c r="F26" s="20"/>
      <c r="G26" s="20"/>
      <c r="H26" s="76"/>
      <c r="I26" s="76"/>
    </row>
    <row r="27" ht="15.75" customHeight="1">
      <c r="A27" s="20"/>
      <c r="B27" s="20"/>
      <c r="C27" s="20"/>
      <c r="D27" s="21"/>
      <c r="E27" s="20"/>
      <c r="F27" s="20"/>
      <c r="G27" s="20"/>
      <c r="H27" s="76"/>
      <c r="I27" s="76"/>
    </row>
    <row r="28" ht="15.75" customHeight="1">
      <c r="A28" s="20"/>
      <c r="B28" s="20"/>
      <c r="C28" s="20"/>
      <c r="D28" s="21"/>
      <c r="E28" s="20"/>
      <c r="F28" s="20"/>
      <c r="G28" s="20"/>
      <c r="H28" s="76"/>
      <c r="I28" s="76"/>
    </row>
    <row r="29" ht="15.75" customHeight="1">
      <c r="A29" s="20"/>
      <c r="B29" s="20"/>
      <c r="C29" s="20"/>
      <c r="D29" s="21"/>
      <c r="E29" s="20"/>
      <c r="F29" s="20"/>
      <c r="G29" s="20"/>
      <c r="H29" s="76"/>
      <c r="I29" s="76"/>
    </row>
    <row r="30" ht="15.75" customHeight="1">
      <c r="A30" s="20"/>
      <c r="B30" s="20"/>
      <c r="C30" s="20"/>
      <c r="D30" s="21"/>
      <c r="E30" s="20"/>
      <c r="F30" s="20"/>
      <c r="G30" s="20"/>
      <c r="H30" s="76"/>
      <c r="I30" s="76"/>
    </row>
    <row r="31" ht="15.75" customHeight="1">
      <c r="A31" s="20"/>
      <c r="B31" s="20"/>
      <c r="C31" s="20"/>
      <c r="D31" s="21"/>
      <c r="E31" s="20"/>
      <c r="F31" s="20"/>
      <c r="G31" s="20"/>
      <c r="H31" s="76"/>
      <c r="I31" s="76"/>
    </row>
    <row r="32" ht="15.75" customHeight="1">
      <c r="A32" s="20"/>
      <c r="B32" s="20"/>
      <c r="C32" s="20"/>
      <c r="D32" s="21"/>
      <c r="E32" s="20"/>
      <c r="F32" s="20"/>
      <c r="G32" s="20"/>
      <c r="H32" s="76"/>
      <c r="I32" s="76"/>
    </row>
    <row r="33" ht="15.75" customHeight="1">
      <c r="A33" s="20"/>
      <c r="B33" s="20"/>
      <c r="C33" s="20"/>
      <c r="D33" s="21"/>
      <c r="E33" s="20"/>
      <c r="F33" s="20"/>
      <c r="G33" s="20"/>
      <c r="H33" s="76"/>
      <c r="I33" s="76"/>
    </row>
    <row r="34" ht="15.75" customHeight="1">
      <c r="A34" s="20"/>
      <c r="B34" s="20"/>
      <c r="C34" s="20"/>
      <c r="D34" s="21"/>
      <c r="E34" s="20"/>
      <c r="F34" s="20"/>
      <c r="G34" s="20"/>
      <c r="H34" s="76"/>
      <c r="I34" s="76"/>
    </row>
    <row r="35" ht="15.75" customHeight="1">
      <c r="A35" s="20"/>
      <c r="B35" s="20"/>
      <c r="C35" s="20"/>
      <c r="D35" s="21"/>
      <c r="E35" s="20"/>
      <c r="F35" s="20"/>
      <c r="G35" s="20"/>
      <c r="H35" s="76"/>
      <c r="I35" s="76"/>
    </row>
    <row r="36" ht="15.75" customHeight="1">
      <c r="A36" s="20"/>
      <c r="B36" s="20"/>
      <c r="C36" s="20"/>
      <c r="D36" s="21"/>
      <c r="E36" s="20"/>
      <c r="F36" s="20"/>
      <c r="G36" s="20"/>
      <c r="H36" s="76"/>
      <c r="I36" s="76"/>
    </row>
    <row r="37" ht="15.75" customHeight="1">
      <c r="A37" s="20"/>
      <c r="B37" s="20"/>
      <c r="C37" s="20"/>
      <c r="D37" s="21"/>
      <c r="E37" s="20"/>
      <c r="F37" s="20"/>
      <c r="G37" s="20"/>
      <c r="H37" s="76"/>
      <c r="I37" s="76"/>
    </row>
    <row r="38" ht="15.75" customHeight="1">
      <c r="A38" s="20"/>
      <c r="B38" s="20"/>
      <c r="C38" s="20"/>
      <c r="D38" s="21"/>
      <c r="E38" s="20"/>
      <c r="F38" s="20"/>
      <c r="G38" s="20"/>
      <c r="H38" s="76"/>
      <c r="I38" s="76"/>
    </row>
    <row r="39" ht="15.75" customHeight="1">
      <c r="A39" s="20"/>
      <c r="B39" s="20"/>
      <c r="C39" s="20"/>
      <c r="D39" s="21"/>
      <c r="E39" s="20"/>
      <c r="F39" s="20"/>
      <c r="G39" s="20"/>
      <c r="H39" s="76"/>
      <c r="I39" s="76"/>
    </row>
    <row r="40" ht="15.75" customHeight="1">
      <c r="A40" s="20"/>
      <c r="B40" s="20"/>
      <c r="C40" s="20"/>
      <c r="D40" s="21"/>
      <c r="E40" s="20"/>
      <c r="F40" s="20"/>
      <c r="G40" s="20"/>
      <c r="H40" s="76"/>
      <c r="I40" s="76"/>
    </row>
    <row r="41" ht="15.75" customHeight="1">
      <c r="A41" s="20"/>
      <c r="B41" s="20"/>
      <c r="C41" s="20"/>
      <c r="D41" s="21"/>
      <c r="E41" s="20"/>
      <c r="F41" s="20"/>
      <c r="G41" s="20"/>
      <c r="H41" s="76"/>
      <c r="I41" s="76"/>
    </row>
    <row r="42" ht="15.75" customHeight="1">
      <c r="A42" s="20"/>
      <c r="B42" s="20"/>
      <c r="C42" s="20"/>
      <c r="D42" s="21"/>
      <c r="E42" s="20"/>
      <c r="F42" s="20"/>
      <c r="G42" s="20"/>
      <c r="H42" s="76"/>
      <c r="I42" s="76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5:$I$25">
    <sortState ref="A25:I25">
      <sortCondition ref="A25"/>
    </sortState>
  </autoFilter>
  <mergeCells count="3">
    <mergeCell ref="B1:H1"/>
    <mergeCell ref="K1:L1"/>
    <mergeCell ref="A24:G24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6.0"/>
    <col customWidth="1" min="10" max="10" width="2.0"/>
    <col customWidth="1" min="11" max="11" width="10.0"/>
    <col customWidth="1" min="12" max="12" width="12.0"/>
    <col customWidth="1" min="13" max="28" width="8.71"/>
  </cols>
  <sheetData>
    <row r="1" ht="39.75" customHeight="1">
      <c r="A1" s="29"/>
      <c r="B1" s="28">
        <v>46082.0</v>
      </c>
      <c r="I1" s="29"/>
      <c r="K1" s="99" t="s">
        <v>70</v>
      </c>
      <c r="L1" s="4"/>
    </row>
    <row r="2" ht="21.75" customHeight="1">
      <c r="A2" s="78"/>
      <c r="B2" s="32" t="s">
        <v>63</v>
      </c>
      <c r="C2" s="32" t="s">
        <v>64</v>
      </c>
      <c r="D2" s="32" t="s">
        <v>65</v>
      </c>
      <c r="E2" s="32" t="s">
        <v>66</v>
      </c>
      <c r="F2" s="32" t="s">
        <v>67</v>
      </c>
      <c r="G2" s="32" t="s">
        <v>68</v>
      </c>
      <c r="H2" s="32" t="s">
        <v>69</v>
      </c>
      <c r="I2" s="33"/>
      <c r="K2" s="100" t="s">
        <v>71</v>
      </c>
      <c r="L2" s="101">
        <f>SUMIF(C29:C45,"Fixed",D29:D45)</f>
        <v>0</v>
      </c>
    </row>
    <row r="3" ht="18.0" customHeight="1">
      <c r="A3" s="35"/>
      <c r="B3" s="36"/>
      <c r="C3" s="36"/>
      <c r="D3" s="36"/>
      <c r="E3" s="36"/>
      <c r="F3" s="36"/>
      <c r="G3" s="36"/>
      <c r="H3" s="37">
        <v>1.0</v>
      </c>
      <c r="I3" s="38"/>
      <c r="K3" s="102" t="s">
        <v>72</v>
      </c>
      <c r="L3" s="101">
        <f>SUMIF(C30:C46,"Extra",D30:D46)</f>
        <v>0</v>
      </c>
    </row>
    <row r="4" ht="18.0" customHeight="1">
      <c r="A4" s="35"/>
      <c r="B4" s="36"/>
      <c r="C4" s="36"/>
      <c r="D4" s="36"/>
      <c r="E4" s="36"/>
      <c r="F4" s="36"/>
      <c r="G4" s="36"/>
      <c r="H4" s="41"/>
      <c r="I4" s="42"/>
      <c r="K4" s="102" t="s">
        <v>73</v>
      </c>
      <c r="L4" s="101">
        <f>SUMIF(C30:C46,"One-off",D30:D46)</f>
        <v>0</v>
      </c>
    </row>
    <row r="5" ht="18.0" customHeight="1">
      <c r="A5" s="35"/>
      <c r="B5" s="36"/>
      <c r="C5" s="36"/>
      <c r="D5" s="36"/>
      <c r="E5" s="36"/>
      <c r="F5" s="36"/>
      <c r="G5" s="36"/>
      <c r="H5" s="41"/>
      <c r="I5" s="42"/>
      <c r="K5" s="103" t="s">
        <v>74</v>
      </c>
      <c r="L5" s="104">
        <f>SUM(L2:L4)</f>
        <v>0</v>
      </c>
    </row>
    <row r="6" ht="18.0" customHeight="1">
      <c r="A6" s="35"/>
      <c r="B6" s="36"/>
      <c r="C6" s="36"/>
      <c r="D6" s="36"/>
      <c r="E6" s="36"/>
      <c r="F6" s="36"/>
      <c r="G6" s="36"/>
      <c r="H6" s="41"/>
      <c r="I6" s="42"/>
    </row>
    <row r="7" ht="18.0" customHeight="1">
      <c r="A7" s="79"/>
      <c r="B7" s="47">
        <v>2.0</v>
      </c>
      <c r="C7" s="47">
        <v>3.0</v>
      </c>
      <c r="D7" s="47">
        <v>4.0</v>
      </c>
      <c r="E7" s="47">
        <v>5.0</v>
      </c>
      <c r="F7" s="47">
        <v>6.0</v>
      </c>
      <c r="G7" s="37">
        <v>7.0</v>
      </c>
      <c r="H7" s="37">
        <v>8.0</v>
      </c>
      <c r="I7" s="38"/>
    </row>
    <row r="8" ht="18.0" customHeight="1">
      <c r="A8" s="48"/>
      <c r="B8" s="49"/>
      <c r="C8" s="49"/>
      <c r="D8" s="49"/>
      <c r="E8" s="49"/>
      <c r="F8" s="49"/>
      <c r="G8" s="41"/>
      <c r="H8" s="41"/>
      <c r="I8" s="42"/>
    </row>
    <row r="9" ht="18.0" customHeight="1">
      <c r="A9" s="48"/>
      <c r="B9" s="49"/>
      <c r="C9" s="49"/>
      <c r="D9" s="49"/>
      <c r="E9" s="49"/>
      <c r="F9" s="49"/>
      <c r="G9" s="41"/>
      <c r="H9" s="41"/>
      <c r="I9" s="42"/>
    </row>
    <row r="10" ht="18.0" customHeight="1">
      <c r="A10" s="48"/>
      <c r="B10" s="49"/>
      <c r="C10" s="49"/>
      <c r="D10" s="49"/>
      <c r="E10" s="49"/>
      <c r="F10" s="49"/>
      <c r="G10" s="41"/>
      <c r="H10" s="41"/>
      <c r="I10" s="42"/>
    </row>
    <row r="11" ht="18.0" customHeight="1">
      <c r="A11" s="79"/>
      <c r="B11" s="47">
        <v>9.0</v>
      </c>
      <c r="C11" s="47">
        <v>10.0</v>
      </c>
      <c r="D11" s="47">
        <v>11.0</v>
      </c>
      <c r="E11" s="47">
        <v>12.0</v>
      </c>
      <c r="F11" s="47">
        <v>13.0</v>
      </c>
      <c r="G11" s="37">
        <v>14.0</v>
      </c>
      <c r="H11" s="37">
        <v>15.0</v>
      </c>
      <c r="I11" s="38"/>
    </row>
    <row r="12" ht="18.0" customHeight="1">
      <c r="A12" s="48"/>
      <c r="B12" s="49"/>
      <c r="C12" s="49"/>
      <c r="D12" s="49"/>
      <c r="E12" s="49"/>
      <c r="F12" s="49"/>
      <c r="G12" s="41"/>
      <c r="H12" s="41"/>
      <c r="I12" s="42"/>
    </row>
    <row r="13" ht="18.0" customHeight="1">
      <c r="A13" s="48"/>
      <c r="B13" s="49"/>
      <c r="C13" s="49"/>
      <c r="D13" s="49"/>
      <c r="E13" s="49"/>
      <c r="F13" s="49"/>
      <c r="G13" s="41"/>
      <c r="H13" s="41"/>
      <c r="I13" s="42"/>
    </row>
    <row r="14" ht="18.0" customHeight="1">
      <c r="A14" s="48"/>
      <c r="B14" s="49"/>
      <c r="C14" s="49"/>
      <c r="D14" s="49"/>
      <c r="E14" s="49"/>
      <c r="F14" s="49"/>
      <c r="G14" s="41"/>
      <c r="H14" s="41"/>
      <c r="I14" s="42"/>
    </row>
    <row r="15" ht="18.0" customHeight="1">
      <c r="A15" s="79"/>
      <c r="B15" s="47">
        <v>16.0</v>
      </c>
      <c r="C15" s="47">
        <v>17.0</v>
      </c>
      <c r="D15" s="47">
        <v>18.0</v>
      </c>
      <c r="E15" s="47">
        <v>19.0</v>
      </c>
      <c r="F15" s="47">
        <v>20.0</v>
      </c>
      <c r="G15" s="37">
        <v>21.0</v>
      </c>
      <c r="H15" s="37">
        <v>22.0</v>
      </c>
      <c r="I15" s="38"/>
    </row>
    <row r="16" ht="18.0" customHeight="1">
      <c r="A16" s="48"/>
      <c r="B16" s="49"/>
      <c r="C16" s="49"/>
      <c r="D16" s="49"/>
      <c r="E16" s="49"/>
      <c r="F16" s="49"/>
      <c r="G16" s="41"/>
      <c r="H16" s="41"/>
      <c r="I16" s="42"/>
    </row>
    <row r="17" ht="18.0" customHeight="1">
      <c r="A17" s="48"/>
      <c r="B17" s="49"/>
      <c r="C17" s="49"/>
      <c r="D17" s="49"/>
      <c r="E17" s="49"/>
      <c r="F17" s="49"/>
      <c r="G17" s="41"/>
      <c r="H17" s="41"/>
      <c r="I17" s="42"/>
    </row>
    <row r="18" ht="18.0" customHeight="1">
      <c r="A18" s="48"/>
      <c r="B18" s="49"/>
      <c r="C18" s="49"/>
      <c r="D18" s="49"/>
      <c r="E18" s="49"/>
      <c r="F18" s="49"/>
      <c r="G18" s="41"/>
      <c r="H18" s="41"/>
      <c r="I18" s="42"/>
    </row>
    <row r="19" ht="18.0" customHeight="1">
      <c r="A19" s="79"/>
      <c r="B19" s="47">
        <v>23.0</v>
      </c>
      <c r="C19" s="47">
        <v>24.0</v>
      </c>
      <c r="D19" s="47">
        <v>25.0</v>
      </c>
      <c r="E19" s="47">
        <v>26.0</v>
      </c>
      <c r="F19" s="47">
        <v>27.0</v>
      </c>
      <c r="G19" s="37">
        <v>28.0</v>
      </c>
      <c r="H19" s="37">
        <v>29.0</v>
      </c>
      <c r="I19" s="38"/>
    </row>
    <row r="20" ht="18.0" customHeight="1">
      <c r="A20" s="48"/>
      <c r="B20" s="49"/>
      <c r="C20" s="49"/>
      <c r="D20" s="49"/>
      <c r="E20" s="49"/>
      <c r="F20" s="49"/>
      <c r="G20" s="41"/>
      <c r="H20" s="41"/>
      <c r="I20" s="42"/>
    </row>
    <row r="21" ht="18.0" customHeight="1">
      <c r="A21" s="48"/>
      <c r="B21" s="49"/>
      <c r="C21" s="49"/>
      <c r="D21" s="49"/>
      <c r="E21" s="49"/>
      <c r="F21" s="49"/>
      <c r="G21" s="41"/>
      <c r="H21" s="41"/>
      <c r="I21" s="42"/>
    </row>
    <row r="22" ht="18.0" customHeight="1">
      <c r="A22" s="48"/>
      <c r="B22" s="49"/>
      <c r="C22" s="49"/>
      <c r="D22" s="49"/>
      <c r="E22" s="49"/>
      <c r="F22" s="49"/>
      <c r="G22" s="41"/>
      <c r="H22" s="41"/>
      <c r="I22" s="42"/>
    </row>
    <row r="23" ht="18.0" customHeight="1">
      <c r="A23" s="79"/>
      <c r="B23" s="47">
        <v>30.0</v>
      </c>
      <c r="C23" s="47">
        <v>31.0</v>
      </c>
      <c r="D23" s="36"/>
      <c r="E23" s="36"/>
      <c r="F23" s="36"/>
      <c r="G23" s="36"/>
      <c r="H23" s="36"/>
      <c r="I23" s="85"/>
    </row>
    <row r="24" ht="18.0" customHeight="1">
      <c r="A24" s="48"/>
      <c r="B24" s="49"/>
      <c r="C24" s="49"/>
      <c r="D24" s="36"/>
      <c r="E24" s="36"/>
      <c r="F24" s="36"/>
      <c r="G24" s="36"/>
      <c r="H24" s="36"/>
      <c r="I24" s="85"/>
    </row>
    <row r="25" ht="18.0" customHeight="1">
      <c r="A25" s="48"/>
      <c r="B25" s="49"/>
      <c r="C25" s="49"/>
      <c r="D25" s="36"/>
      <c r="E25" s="36"/>
      <c r="F25" s="36"/>
      <c r="G25" s="36"/>
      <c r="H25" s="36"/>
      <c r="I25" s="85"/>
    </row>
    <row r="26" ht="18.0" customHeight="1">
      <c r="A26" s="48"/>
      <c r="B26" s="49"/>
      <c r="C26" s="49"/>
      <c r="D26" s="36"/>
      <c r="E26" s="36"/>
      <c r="F26" s="36"/>
      <c r="G26" s="36"/>
      <c r="H26" s="36"/>
      <c r="I26" s="85"/>
    </row>
    <row r="27" ht="15.75" customHeight="1"/>
    <row r="28" ht="15.75" customHeight="1">
      <c r="A28" s="56" t="s">
        <v>80</v>
      </c>
      <c r="B28" s="3"/>
      <c r="C28" s="3"/>
      <c r="D28" s="3"/>
      <c r="E28" s="3"/>
      <c r="F28" s="3"/>
      <c r="G28" s="4"/>
      <c r="H28" s="57"/>
      <c r="I28" s="57"/>
    </row>
    <row r="29" ht="15.75" customHeight="1">
      <c r="A29" s="18" t="s">
        <v>81</v>
      </c>
      <c r="B29" s="18" t="s">
        <v>2</v>
      </c>
      <c r="C29" s="18" t="s">
        <v>82</v>
      </c>
      <c r="D29" s="18" t="s">
        <v>83</v>
      </c>
      <c r="E29" s="18" t="s">
        <v>3</v>
      </c>
      <c r="F29" s="19" t="s">
        <v>84</v>
      </c>
      <c r="G29" s="19" t="s">
        <v>9</v>
      </c>
      <c r="H29" s="8" t="s">
        <v>85</v>
      </c>
      <c r="I29" s="8" t="s">
        <v>10</v>
      </c>
    </row>
    <row r="30" ht="15.75" customHeight="1">
      <c r="A30" s="20"/>
      <c r="B30" s="20"/>
      <c r="C30" s="20"/>
      <c r="D30" s="21"/>
      <c r="E30" s="20"/>
      <c r="F30" s="20"/>
      <c r="G30" s="20"/>
      <c r="H30" s="76"/>
      <c r="I30" s="76"/>
    </row>
    <row r="31" ht="15.75" customHeight="1">
      <c r="A31" s="20"/>
      <c r="B31" s="20"/>
      <c r="C31" s="20"/>
      <c r="D31" s="21"/>
      <c r="E31" s="20"/>
      <c r="F31" s="20"/>
      <c r="G31" s="20"/>
      <c r="H31" s="76"/>
      <c r="I31" s="76"/>
    </row>
    <row r="32" ht="15.75" customHeight="1">
      <c r="A32" s="20"/>
      <c r="B32" s="20"/>
      <c r="C32" s="20"/>
      <c r="D32" s="21"/>
      <c r="E32" s="20"/>
      <c r="F32" s="20"/>
      <c r="G32" s="20"/>
      <c r="H32" s="76"/>
      <c r="I32" s="76"/>
    </row>
    <row r="33" ht="15.75" customHeight="1">
      <c r="A33" s="20"/>
      <c r="B33" s="20"/>
      <c r="C33" s="20"/>
      <c r="D33" s="21"/>
      <c r="E33" s="20"/>
      <c r="F33" s="20"/>
      <c r="G33" s="20"/>
      <c r="H33" s="76"/>
      <c r="I33" s="76"/>
    </row>
    <row r="34" ht="15.75" customHeight="1">
      <c r="A34" s="20"/>
      <c r="B34" s="20"/>
      <c r="C34" s="20"/>
      <c r="D34" s="21"/>
      <c r="E34" s="20"/>
      <c r="F34" s="20"/>
      <c r="G34" s="20"/>
      <c r="H34" s="76"/>
      <c r="I34" s="76"/>
    </row>
    <row r="35" ht="15.75" customHeight="1">
      <c r="A35" s="20"/>
      <c r="B35" s="20"/>
      <c r="C35" s="20"/>
      <c r="D35" s="21"/>
      <c r="E35" s="20"/>
      <c r="F35" s="20"/>
      <c r="G35" s="20"/>
      <c r="H35" s="76"/>
      <c r="I35" s="76"/>
    </row>
    <row r="36" ht="15.75" customHeight="1">
      <c r="A36" s="20"/>
      <c r="B36" s="20"/>
      <c r="C36" s="20"/>
      <c r="D36" s="21"/>
      <c r="E36" s="20"/>
      <c r="F36" s="20"/>
      <c r="G36" s="20"/>
      <c r="H36" s="76"/>
      <c r="I36" s="76"/>
    </row>
    <row r="37" ht="15.75" customHeight="1">
      <c r="A37" s="20"/>
      <c r="B37" s="20"/>
      <c r="C37" s="20"/>
      <c r="D37" s="21"/>
      <c r="E37" s="20"/>
      <c r="F37" s="20"/>
      <c r="G37" s="20"/>
      <c r="H37" s="76"/>
      <c r="I37" s="76"/>
    </row>
    <row r="38" ht="15.75" customHeight="1">
      <c r="A38" s="20"/>
      <c r="B38" s="20"/>
      <c r="C38" s="20"/>
      <c r="D38" s="21"/>
      <c r="E38" s="20"/>
      <c r="F38" s="20"/>
      <c r="G38" s="20"/>
      <c r="H38" s="76"/>
      <c r="I38" s="76"/>
    </row>
    <row r="39" ht="15.75" customHeight="1">
      <c r="A39" s="20"/>
      <c r="B39" s="20"/>
      <c r="C39" s="20"/>
      <c r="D39" s="21"/>
      <c r="E39" s="20"/>
      <c r="F39" s="20"/>
      <c r="G39" s="20"/>
      <c r="H39" s="76"/>
      <c r="I39" s="76"/>
    </row>
    <row r="40" ht="15.75" customHeight="1">
      <c r="A40" s="20"/>
      <c r="B40" s="20"/>
      <c r="C40" s="20"/>
      <c r="D40" s="21"/>
      <c r="E40" s="20"/>
      <c r="F40" s="20"/>
      <c r="G40" s="20"/>
      <c r="H40" s="76"/>
      <c r="I40" s="76"/>
    </row>
    <row r="41" ht="15.75" customHeight="1">
      <c r="A41" s="20"/>
      <c r="B41" s="20"/>
      <c r="C41" s="20"/>
      <c r="D41" s="21"/>
      <c r="E41" s="20"/>
      <c r="F41" s="20"/>
      <c r="G41" s="20"/>
      <c r="H41" s="76"/>
      <c r="I41" s="76"/>
    </row>
    <row r="42" ht="15.75" customHeight="1">
      <c r="A42" s="20"/>
      <c r="B42" s="20"/>
      <c r="C42" s="20"/>
      <c r="D42" s="21"/>
      <c r="E42" s="20"/>
      <c r="F42" s="20"/>
      <c r="G42" s="20"/>
      <c r="H42" s="76"/>
      <c r="I42" s="76"/>
    </row>
    <row r="43" ht="15.75" customHeight="1">
      <c r="A43" s="20"/>
      <c r="B43" s="20"/>
      <c r="C43" s="20"/>
      <c r="D43" s="21"/>
      <c r="E43" s="20"/>
      <c r="F43" s="20"/>
      <c r="G43" s="20"/>
      <c r="H43" s="76"/>
      <c r="I43" s="76"/>
    </row>
    <row r="44" ht="15.75" customHeight="1">
      <c r="A44" s="20"/>
      <c r="B44" s="20"/>
      <c r="C44" s="20"/>
      <c r="D44" s="21"/>
      <c r="E44" s="20"/>
      <c r="F44" s="20"/>
      <c r="G44" s="20"/>
      <c r="H44" s="76"/>
      <c r="I44" s="76"/>
    </row>
    <row r="45" ht="15.75" customHeight="1">
      <c r="A45" s="20"/>
      <c r="B45" s="20"/>
      <c r="C45" s="20"/>
      <c r="D45" s="21"/>
      <c r="E45" s="20"/>
      <c r="F45" s="20"/>
      <c r="G45" s="20"/>
      <c r="H45" s="76"/>
      <c r="I45" s="76"/>
    </row>
    <row r="46" ht="15.75" customHeight="1">
      <c r="A46" s="20"/>
      <c r="B46" s="20"/>
      <c r="C46" s="20"/>
      <c r="D46" s="21"/>
      <c r="E46" s="20"/>
      <c r="F46" s="20"/>
      <c r="G46" s="20"/>
      <c r="H46" s="76"/>
      <c r="I46" s="76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9:$I$29">
    <sortState ref="A29:I29">
      <sortCondition ref="A29"/>
    </sortState>
  </autoFilter>
  <mergeCells count="3">
    <mergeCell ref="B1:H1"/>
    <mergeCell ref="K1:L1"/>
    <mergeCell ref="A28:G28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6.0"/>
    <col customWidth="1" min="10" max="10" width="2.0"/>
    <col customWidth="1" min="11" max="11" width="10.0"/>
    <col customWidth="1" min="12" max="12" width="12.0"/>
    <col customWidth="1" min="13" max="28" width="8.71"/>
  </cols>
  <sheetData>
    <row r="1" ht="39.75" customHeight="1">
      <c r="A1" s="29"/>
      <c r="B1" s="28">
        <v>46113.0</v>
      </c>
      <c r="I1" s="29"/>
      <c r="K1" s="99" t="s">
        <v>70</v>
      </c>
      <c r="L1" s="4"/>
    </row>
    <row r="2" ht="21.75" customHeight="1">
      <c r="A2" s="78"/>
      <c r="B2" s="32" t="s">
        <v>63</v>
      </c>
      <c r="C2" s="32" t="s">
        <v>64</v>
      </c>
      <c r="D2" s="32" t="s">
        <v>65</v>
      </c>
      <c r="E2" s="32" t="s">
        <v>66</v>
      </c>
      <c r="F2" s="32" t="s">
        <v>67</v>
      </c>
      <c r="G2" s="32" t="s">
        <v>68</v>
      </c>
      <c r="H2" s="32" t="s">
        <v>69</v>
      </c>
      <c r="I2" s="33"/>
      <c r="K2" s="100" t="s">
        <v>71</v>
      </c>
      <c r="L2" s="101">
        <f>SUMIF(C25:C42,"Fixed",D25:D42)</f>
        <v>0</v>
      </c>
    </row>
    <row r="3" ht="18.0" customHeight="1">
      <c r="A3" s="35"/>
      <c r="B3" s="36"/>
      <c r="C3" s="36"/>
      <c r="D3" s="47">
        <v>1.0</v>
      </c>
      <c r="E3" s="47">
        <v>2.0</v>
      </c>
      <c r="F3" s="47">
        <v>3.0</v>
      </c>
      <c r="G3" s="37">
        <v>4.0</v>
      </c>
      <c r="H3" s="37">
        <v>5.0</v>
      </c>
      <c r="I3" s="38"/>
      <c r="K3" s="102" t="s">
        <v>72</v>
      </c>
      <c r="L3" s="101">
        <f>SUMIF(C26:C42,"Extra",D26:D42)</f>
        <v>0</v>
      </c>
    </row>
    <row r="4" ht="18.0" customHeight="1">
      <c r="A4" s="35"/>
      <c r="B4" s="36"/>
      <c r="C4" s="36"/>
      <c r="D4" s="105"/>
      <c r="E4" s="49"/>
      <c r="F4" s="49"/>
      <c r="G4" s="41"/>
      <c r="H4" s="41"/>
      <c r="I4" s="42"/>
      <c r="K4" s="102" t="s">
        <v>73</v>
      </c>
      <c r="L4" s="101">
        <f>SUMIF(C26:C42,"One-off",D26:D42)</f>
        <v>0</v>
      </c>
    </row>
    <row r="5" ht="18.0" customHeight="1">
      <c r="A5" s="35"/>
      <c r="B5" s="36"/>
      <c r="C5" s="36"/>
      <c r="D5" s="105"/>
      <c r="E5" s="49"/>
      <c r="F5" s="49"/>
      <c r="G5" s="41"/>
      <c r="H5" s="41"/>
      <c r="I5" s="42"/>
      <c r="K5" s="103" t="s">
        <v>74</v>
      </c>
      <c r="L5" s="104">
        <f>SUM(L2:L4)</f>
        <v>0</v>
      </c>
    </row>
    <row r="6" ht="18.0" customHeight="1">
      <c r="A6" s="35"/>
      <c r="B6" s="36"/>
      <c r="C6" s="36"/>
      <c r="D6" s="49"/>
      <c r="E6" s="49"/>
      <c r="F6" s="49"/>
      <c r="G6" s="41"/>
      <c r="H6" s="41"/>
      <c r="I6" s="42"/>
    </row>
    <row r="7" ht="18.0" customHeight="1">
      <c r="A7" s="79"/>
      <c r="B7" s="47">
        <v>6.0</v>
      </c>
      <c r="C7" s="47">
        <v>7.0</v>
      </c>
      <c r="D7" s="47">
        <v>8.0</v>
      </c>
      <c r="E7" s="47">
        <v>9.0</v>
      </c>
      <c r="F7" s="47">
        <v>10.0</v>
      </c>
      <c r="G7" s="37">
        <v>11.0</v>
      </c>
      <c r="H7" s="37">
        <v>12.0</v>
      </c>
      <c r="I7" s="38"/>
    </row>
    <row r="8" ht="18.0" customHeight="1">
      <c r="A8" s="48"/>
      <c r="B8" s="49"/>
      <c r="C8" s="49"/>
      <c r="D8" s="49"/>
      <c r="E8" s="49"/>
      <c r="F8" s="49"/>
      <c r="G8" s="41"/>
      <c r="H8" s="41"/>
      <c r="I8" s="42"/>
    </row>
    <row r="9" ht="18.0" customHeight="1">
      <c r="A9" s="48"/>
      <c r="B9" s="49"/>
      <c r="C9" s="49"/>
      <c r="D9" s="49"/>
      <c r="E9" s="49"/>
      <c r="F9" s="49"/>
      <c r="G9" s="41"/>
      <c r="H9" s="41"/>
      <c r="I9" s="42"/>
    </row>
    <row r="10" ht="18.0" customHeight="1">
      <c r="A10" s="48"/>
      <c r="B10" s="49"/>
      <c r="C10" s="49"/>
      <c r="D10" s="49"/>
      <c r="E10" s="49"/>
      <c r="F10" s="49"/>
      <c r="G10" s="41"/>
      <c r="H10" s="41"/>
      <c r="I10" s="42"/>
    </row>
    <row r="11" ht="18.0" customHeight="1">
      <c r="A11" s="79"/>
      <c r="B11" s="47">
        <v>13.0</v>
      </c>
      <c r="C11" s="47">
        <v>14.0</v>
      </c>
      <c r="D11" s="47">
        <v>15.0</v>
      </c>
      <c r="E11" s="47">
        <v>16.0</v>
      </c>
      <c r="F11" s="47">
        <v>17.0</v>
      </c>
      <c r="G11" s="37">
        <v>18.0</v>
      </c>
      <c r="H11" s="37">
        <v>19.0</v>
      </c>
      <c r="I11" s="38"/>
    </row>
    <row r="12" ht="18.0" customHeight="1">
      <c r="A12" s="48"/>
      <c r="B12" s="49"/>
      <c r="C12" s="49"/>
      <c r="D12" s="49"/>
      <c r="E12" s="49"/>
      <c r="F12" s="49"/>
      <c r="G12" s="41"/>
      <c r="H12" s="41"/>
      <c r="I12" s="42"/>
    </row>
    <row r="13" ht="18.0" customHeight="1">
      <c r="A13" s="48"/>
      <c r="B13" s="49"/>
      <c r="C13" s="49"/>
      <c r="D13" s="49"/>
      <c r="E13" s="49"/>
      <c r="F13" s="49"/>
      <c r="G13" s="41"/>
      <c r="H13" s="41"/>
      <c r="I13" s="42"/>
    </row>
    <row r="14" ht="18.0" customHeight="1">
      <c r="A14" s="48"/>
      <c r="B14" s="49"/>
      <c r="C14" s="49"/>
      <c r="D14" s="49"/>
      <c r="E14" s="49"/>
      <c r="F14" s="49"/>
      <c r="G14" s="41"/>
      <c r="H14" s="41"/>
      <c r="I14" s="42"/>
    </row>
    <row r="15" ht="18.0" customHeight="1">
      <c r="A15" s="79"/>
      <c r="B15" s="47">
        <v>20.0</v>
      </c>
      <c r="C15" s="47">
        <v>21.0</v>
      </c>
      <c r="D15" s="47">
        <v>22.0</v>
      </c>
      <c r="E15" s="47">
        <v>23.0</v>
      </c>
      <c r="F15" s="47">
        <v>24.0</v>
      </c>
      <c r="G15" s="37">
        <v>25.0</v>
      </c>
      <c r="H15" s="37">
        <v>26.0</v>
      </c>
      <c r="I15" s="38"/>
    </row>
    <row r="16" ht="18.0" customHeight="1">
      <c r="A16" s="48"/>
      <c r="B16" s="49"/>
      <c r="C16" s="49"/>
      <c r="D16" s="49"/>
      <c r="E16" s="49"/>
      <c r="F16" s="49"/>
      <c r="G16" s="41"/>
      <c r="H16" s="41"/>
      <c r="I16" s="42"/>
    </row>
    <row r="17" ht="18.0" customHeight="1">
      <c r="A17" s="48"/>
      <c r="B17" s="49"/>
      <c r="C17" s="49"/>
      <c r="D17" s="49"/>
      <c r="E17" s="49"/>
      <c r="F17" s="49"/>
      <c r="G17" s="41"/>
      <c r="H17" s="41"/>
      <c r="I17" s="42"/>
    </row>
    <row r="18" ht="18.0" customHeight="1">
      <c r="A18" s="48"/>
      <c r="B18" s="49"/>
      <c r="C18" s="49"/>
      <c r="D18" s="49"/>
      <c r="E18" s="49"/>
      <c r="F18" s="49"/>
      <c r="G18" s="41"/>
      <c r="H18" s="41"/>
      <c r="I18" s="42"/>
    </row>
    <row r="19" ht="18.0" customHeight="1">
      <c r="A19" s="79"/>
      <c r="B19" s="47">
        <v>27.0</v>
      </c>
      <c r="C19" s="47">
        <v>28.0</v>
      </c>
      <c r="D19" s="47">
        <v>29.0</v>
      </c>
      <c r="E19" s="47">
        <v>30.0</v>
      </c>
      <c r="F19" s="36"/>
      <c r="G19" s="36"/>
      <c r="H19" s="36"/>
      <c r="I19" s="85"/>
    </row>
    <row r="20" ht="18.0" customHeight="1">
      <c r="A20" s="48"/>
      <c r="B20" s="49"/>
      <c r="C20" s="49"/>
      <c r="D20" s="49"/>
      <c r="E20" s="49"/>
      <c r="F20" s="36"/>
      <c r="G20" s="36"/>
      <c r="H20" s="36"/>
      <c r="I20" s="85"/>
    </row>
    <row r="21" ht="18.0" customHeight="1">
      <c r="A21" s="48"/>
      <c r="B21" s="49"/>
      <c r="C21" s="49"/>
      <c r="D21" s="49"/>
      <c r="E21" s="49"/>
      <c r="F21" s="36"/>
      <c r="G21" s="36"/>
      <c r="H21" s="36"/>
      <c r="I21" s="85"/>
    </row>
    <row r="22" ht="18.0" customHeight="1">
      <c r="A22" s="48"/>
      <c r="B22" s="49"/>
      <c r="C22" s="49"/>
      <c r="D22" s="49"/>
      <c r="E22" s="49"/>
      <c r="F22" s="36"/>
      <c r="G22" s="36"/>
      <c r="H22" s="36"/>
      <c r="I22" s="85"/>
    </row>
    <row r="23" ht="15.75" customHeight="1"/>
    <row r="24" ht="15.75" customHeight="1">
      <c r="A24" s="56" t="s">
        <v>80</v>
      </c>
      <c r="B24" s="3"/>
      <c r="C24" s="3"/>
      <c r="D24" s="3"/>
      <c r="E24" s="3"/>
      <c r="F24" s="3"/>
      <c r="G24" s="4"/>
      <c r="H24" s="57"/>
      <c r="I24" s="57"/>
    </row>
    <row r="25" ht="15.75" customHeight="1">
      <c r="A25" s="18" t="s">
        <v>81</v>
      </c>
      <c r="B25" s="18" t="s">
        <v>2</v>
      </c>
      <c r="C25" s="18" t="s">
        <v>82</v>
      </c>
      <c r="D25" s="18" t="s">
        <v>83</v>
      </c>
      <c r="E25" s="18" t="s">
        <v>3</v>
      </c>
      <c r="F25" s="19" t="s">
        <v>84</v>
      </c>
      <c r="G25" s="19" t="s">
        <v>9</v>
      </c>
      <c r="H25" s="8" t="s">
        <v>85</v>
      </c>
      <c r="I25" s="8" t="s">
        <v>10</v>
      </c>
    </row>
    <row r="26" ht="15.75" customHeight="1">
      <c r="A26" s="20"/>
      <c r="B26" s="20"/>
      <c r="C26" s="20"/>
      <c r="D26" s="21"/>
      <c r="E26" s="20"/>
      <c r="F26" s="20"/>
      <c r="G26" s="20"/>
      <c r="H26" s="76"/>
      <c r="I26" s="76"/>
    </row>
    <row r="27" ht="15.75" customHeight="1">
      <c r="A27" s="20"/>
      <c r="B27" s="20"/>
      <c r="C27" s="20"/>
      <c r="D27" s="21"/>
      <c r="E27" s="20"/>
      <c r="F27" s="20"/>
      <c r="G27" s="20"/>
      <c r="H27" s="76"/>
      <c r="I27" s="76"/>
    </row>
    <row r="28" ht="15.75" customHeight="1">
      <c r="A28" s="20"/>
      <c r="B28" s="20"/>
      <c r="C28" s="20"/>
      <c r="D28" s="21"/>
      <c r="E28" s="20"/>
      <c r="F28" s="20"/>
      <c r="G28" s="20"/>
      <c r="H28" s="76"/>
      <c r="I28" s="76"/>
    </row>
    <row r="29" ht="15.75" customHeight="1">
      <c r="A29" s="20"/>
      <c r="B29" s="20"/>
      <c r="C29" s="20"/>
      <c r="D29" s="21"/>
      <c r="E29" s="20"/>
      <c r="F29" s="20"/>
      <c r="G29" s="20"/>
      <c r="H29" s="76"/>
      <c r="I29" s="76"/>
    </row>
    <row r="30" ht="15.75" customHeight="1">
      <c r="A30" s="20"/>
      <c r="B30" s="20"/>
      <c r="C30" s="20"/>
      <c r="D30" s="21"/>
      <c r="E30" s="20"/>
      <c r="F30" s="20"/>
      <c r="G30" s="20"/>
      <c r="H30" s="76"/>
      <c r="I30" s="76"/>
    </row>
    <row r="31" ht="15.75" customHeight="1">
      <c r="A31" s="20"/>
      <c r="B31" s="20"/>
      <c r="C31" s="20"/>
      <c r="D31" s="21"/>
      <c r="E31" s="20"/>
      <c r="F31" s="20"/>
      <c r="G31" s="20"/>
      <c r="H31" s="76"/>
      <c r="I31" s="76"/>
    </row>
    <row r="32" ht="15.75" customHeight="1">
      <c r="A32" s="20"/>
      <c r="B32" s="20"/>
      <c r="C32" s="20"/>
      <c r="D32" s="21"/>
      <c r="E32" s="20"/>
      <c r="F32" s="20"/>
      <c r="G32" s="20"/>
      <c r="H32" s="76"/>
      <c r="I32" s="76"/>
    </row>
    <row r="33" ht="15.75" customHeight="1">
      <c r="A33" s="20"/>
      <c r="B33" s="20"/>
      <c r="C33" s="20"/>
      <c r="D33" s="21"/>
      <c r="E33" s="20"/>
      <c r="F33" s="20"/>
      <c r="G33" s="20"/>
      <c r="H33" s="76"/>
      <c r="I33" s="76"/>
    </row>
    <row r="34" ht="15.75" customHeight="1">
      <c r="A34" s="20"/>
      <c r="B34" s="20"/>
      <c r="C34" s="20"/>
      <c r="D34" s="21"/>
      <c r="E34" s="20"/>
      <c r="F34" s="20"/>
      <c r="G34" s="20"/>
      <c r="H34" s="76"/>
      <c r="I34" s="76"/>
    </row>
    <row r="35" ht="15.75" customHeight="1">
      <c r="A35" s="20"/>
      <c r="B35" s="20"/>
      <c r="C35" s="20"/>
      <c r="D35" s="21"/>
      <c r="E35" s="20"/>
      <c r="F35" s="20"/>
      <c r="G35" s="20"/>
      <c r="H35" s="76"/>
      <c r="I35" s="76"/>
    </row>
    <row r="36" ht="15.75" customHeight="1">
      <c r="A36" s="20"/>
      <c r="B36" s="20"/>
      <c r="C36" s="20"/>
      <c r="D36" s="21"/>
      <c r="E36" s="20"/>
      <c r="F36" s="20"/>
      <c r="G36" s="20"/>
      <c r="H36" s="76"/>
      <c r="I36" s="76"/>
    </row>
    <row r="37" ht="15.75" customHeight="1">
      <c r="A37" s="20"/>
      <c r="B37" s="20"/>
      <c r="C37" s="20"/>
      <c r="D37" s="21"/>
      <c r="E37" s="20"/>
      <c r="F37" s="20"/>
      <c r="G37" s="20"/>
      <c r="H37" s="76"/>
      <c r="I37" s="76"/>
    </row>
    <row r="38" ht="15.75" customHeight="1">
      <c r="A38" s="20"/>
      <c r="B38" s="20"/>
      <c r="C38" s="20"/>
      <c r="D38" s="21"/>
      <c r="E38" s="20"/>
      <c r="F38" s="20"/>
      <c r="G38" s="20"/>
      <c r="H38" s="76"/>
      <c r="I38" s="76"/>
    </row>
    <row r="39" ht="15.75" customHeight="1">
      <c r="A39" s="20"/>
      <c r="B39" s="20"/>
      <c r="C39" s="20"/>
      <c r="D39" s="21"/>
      <c r="E39" s="20"/>
      <c r="F39" s="20"/>
      <c r="G39" s="20"/>
      <c r="H39" s="76"/>
      <c r="I39" s="76"/>
    </row>
    <row r="40" ht="15.75" customHeight="1">
      <c r="A40" s="20"/>
      <c r="B40" s="20"/>
      <c r="C40" s="20"/>
      <c r="D40" s="21"/>
      <c r="E40" s="20"/>
      <c r="F40" s="20"/>
      <c r="G40" s="20"/>
      <c r="H40" s="76"/>
      <c r="I40" s="76"/>
    </row>
    <row r="41" ht="15.75" customHeight="1">
      <c r="A41" s="20"/>
      <c r="B41" s="20"/>
      <c r="C41" s="20"/>
      <c r="D41" s="21"/>
      <c r="E41" s="20"/>
      <c r="F41" s="20"/>
      <c r="G41" s="20"/>
      <c r="H41" s="76"/>
      <c r="I41" s="76"/>
    </row>
    <row r="42" ht="15.75" customHeight="1">
      <c r="A42" s="20"/>
      <c r="B42" s="20"/>
      <c r="C42" s="20"/>
      <c r="D42" s="21"/>
      <c r="E42" s="20"/>
      <c r="F42" s="20"/>
      <c r="G42" s="20"/>
      <c r="H42" s="76"/>
      <c r="I42" s="76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5:$I$25">
    <sortState ref="A25:I25">
      <sortCondition ref="A25"/>
    </sortState>
  </autoFilter>
  <mergeCells count="3">
    <mergeCell ref="B1:H1"/>
    <mergeCell ref="K1:L1"/>
    <mergeCell ref="A24:G24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6.0"/>
    <col customWidth="1" min="10" max="10" width="2.0"/>
    <col customWidth="1" min="11" max="11" width="10.0"/>
    <col customWidth="1" min="12" max="12" width="12.0"/>
    <col customWidth="1" min="13" max="28" width="8.71"/>
  </cols>
  <sheetData>
    <row r="1" ht="39.75" customHeight="1">
      <c r="A1" s="29"/>
      <c r="B1" s="28">
        <v>46143.0</v>
      </c>
      <c r="I1" s="29"/>
      <c r="K1" s="99" t="s">
        <v>70</v>
      </c>
      <c r="L1" s="4"/>
    </row>
    <row r="2" ht="21.75" customHeight="1">
      <c r="A2" s="78"/>
      <c r="B2" s="32" t="s">
        <v>63</v>
      </c>
      <c r="C2" s="32" t="s">
        <v>64</v>
      </c>
      <c r="D2" s="32" t="s">
        <v>65</v>
      </c>
      <c r="E2" s="32" t="s">
        <v>66</v>
      </c>
      <c r="F2" s="32" t="s">
        <v>67</v>
      </c>
      <c r="G2" s="32" t="s">
        <v>68</v>
      </c>
      <c r="H2" s="32" t="s">
        <v>69</v>
      </c>
      <c r="I2" s="33"/>
      <c r="K2" s="100" t="s">
        <v>71</v>
      </c>
      <c r="L2" s="101">
        <f>SUMIF(C25:C41,"Fixed",D25:D41)</f>
        <v>0</v>
      </c>
    </row>
    <row r="3" ht="18.0" customHeight="1">
      <c r="A3" s="35"/>
      <c r="B3" s="36"/>
      <c r="C3" s="36"/>
      <c r="D3" s="36"/>
      <c r="E3" s="36"/>
      <c r="F3" s="47">
        <v>1.0</v>
      </c>
      <c r="G3" s="37">
        <v>2.0</v>
      </c>
      <c r="H3" s="37">
        <v>3.0</v>
      </c>
      <c r="I3" s="38"/>
      <c r="K3" s="102" t="s">
        <v>72</v>
      </c>
      <c r="L3" s="101">
        <f>SUMIF(C26:C42,"Extra",D26:D42)</f>
        <v>0</v>
      </c>
    </row>
    <row r="4" ht="18.0" customHeight="1">
      <c r="A4" s="35"/>
      <c r="B4" s="36"/>
      <c r="C4" s="36"/>
      <c r="D4" s="36"/>
      <c r="E4" s="36"/>
      <c r="F4" s="36"/>
      <c r="G4" s="41"/>
      <c r="H4" s="41"/>
      <c r="I4" s="42"/>
      <c r="K4" s="102" t="s">
        <v>73</v>
      </c>
      <c r="L4" s="101">
        <f>SUMIF(C26:C42,"One-off",D26:D42)</f>
        <v>0</v>
      </c>
    </row>
    <row r="5" ht="18.0" customHeight="1">
      <c r="A5" s="35"/>
      <c r="B5" s="36"/>
      <c r="C5" s="36"/>
      <c r="D5" s="36"/>
      <c r="E5" s="36"/>
      <c r="F5" s="36"/>
      <c r="G5" s="41"/>
      <c r="H5" s="41"/>
      <c r="I5" s="42"/>
      <c r="K5" s="103" t="s">
        <v>74</v>
      </c>
      <c r="L5" s="104">
        <f>SUM(L2:L4)</f>
        <v>0</v>
      </c>
    </row>
    <row r="6" ht="18.0" customHeight="1">
      <c r="A6" s="35"/>
      <c r="B6" s="36"/>
      <c r="C6" s="36"/>
      <c r="D6" s="36"/>
      <c r="E6" s="36"/>
      <c r="F6" s="49"/>
      <c r="G6" s="41"/>
      <c r="H6" s="41"/>
      <c r="I6" s="42"/>
    </row>
    <row r="7" ht="18.0" customHeight="1">
      <c r="A7" s="79"/>
      <c r="B7" s="47">
        <v>4.0</v>
      </c>
      <c r="C7" s="47">
        <v>5.0</v>
      </c>
      <c r="D7" s="47">
        <v>6.0</v>
      </c>
      <c r="E7" s="47">
        <v>7.0</v>
      </c>
      <c r="F7" s="47">
        <v>8.0</v>
      </c>
      <c r="G7" s="37">
        <v>9.0</v>
      </c>
      <c r="H7" s="37">
        <v>10.0</v>
      </c>
      <c r="I7" s="38"/>
    </row>
    <row r="8" ht="18.0" customHeight="1">
      <c r="A8" s="48"/>
      <c r="B8" s="49"/>
      <c r="C8" s="49"/>
      <c r="D8" s="49"/>
      <c r="E8" s="49"/>
      <c r="F8" s="49"/>
      <c r="G8" s="41"/>
      <c r="H8" s="41"/>
      <c r="I8" s="42"/>
    </row>
    <row r="9" ht="18.0" customHeight="1">
      <c r="A9" s="48"/>
      <c r="B9" s="49"/>
      <c r="C9" s="49"/>
      <c r="D9" s="49"/>
      <c r="E9" s="49"/>
      <c r="F9" s="49"/>
      <c r="G9" s="41"/>
      <c r="H9" s="41"/>
      <c r="I9" s="42"/>
    </row>
    <row r="10" ht="18.0" customHeight="1">
      <c r="A10" s="48"/>
      <c r="B10" s="49"/>
      <c r="C10" s="49"/>
      <c r="D10" s="49"/>
      <c r="E10" s="49"/>
      <c r="F10" s="49"/>
      <c r="G10" s="41"/>
      <c r="H10" s="41"/>
      <c r="I10" s="42"/>
    </row>
    <row r="11" ht="18.0" customHeight="1">
      <c r="A11" s="79"/>
      <c r="B11" s="47">
        <v>11.0</v>
      </c>
      <c r="C11" s="47">
        <v>12.0</v>
      </c>
      <c r="D11" s="47">
        <v>13.0</v>
      </c>
      <c r="E11" s="47">
        <v>14.0</v>
      </c>
      <c r="F11" s="47">
        <v>15.0</v>
      </c>
      <c r="G11" s="37">
        <v>16.0</v>
      </c>
      <c r="H11" s="37">
        <v>17.0</v>
      </c>
      <c r="I11" s="38"/>
    </row>
    <row r="12" ht="18.0" customHeight="1">
      <c r="A12" s="48"/>
      <c r="B12" s="49"/>
      <c r="C12" s="49"/>
      <c r="D12" s="49"/>
      <c r="E12" s="36"/>
      <c r="F12" s="49"/>
      <c r="G12" s="41"/>
      <c r="H12" s="41"/>
      <c r="I12" s="42"/>
    </row>
    <row r="13" ht="18.0" customHeight="1">
      <c r="A13" s="48"/>
      <c r="B13" s="49"/>
      <c r="C13" s="49"/>
      <c r="D13" s="49"/>
      <c r="E13" s="49"/>
      <c r="F13" s="49"/>
      <c r="G13" s="41"/>
      <c r="H13" s="41"/>
      <c r="I13" s="42"/>
    </row>
    <row r="14" ht="18.0" customHeight="1">
      <c r="A14" s="48"/>
      <c r="B14" s="49"/>
      <c r="C14" s="49"/>
      <c r="D14" s="49"/>
      <c r="E14" s="49"/>
      <c r="F14" s="49"/>
      <c r="G14" s="41"/>
      <c r="H14" s="41"/>
      <c r="I14" s="42"/>
    </row>
    <row r="15" ht="18.0" customHeight="1">
      <c r="A15" s="79"/>
      <c r="B15" s="47">
        <v>18.0</v>
      </c>
      <c r="C15" s="47">
        <v>19.0</v>
      </c>
      <c r="D15" s="47">
        <v>20.0</v>
      </c>
      <c r="E15" s="47">
        <v>21.0</v>
      </c>
      <c r="F15" s="47">
        <v>22.0</v>
      </c>
      <c r="G15" s="37">
        <v>23.0</v>
      </c>
      <c r="H15" s="37">
        <v>24.0</v>
      </c>
      <c r="I15" s="38"/>
    </row>
    <row r="16" ht="18.0" customHeight="1">
      <c r="A16" s="48"/>
      <c r="B16" s="49"/>
      <c r="C16" s="49"/>
      <c r="D16" s="49"/>
      <c r="E16" s="49"/>
      <c r="F16" s="49"/>
      <c r="G16" s="41"/>
      <c r="H16" s="41"/>
      <c r="I16" s="42"/>
    </row>
    <row r="17" ht="18.0" customHeight="1">
      <c r="A17" s="48"/>
      <c r="B17" s="49"/>
      <c r="C17" s="49"/>
      <c r="D17" s="49"/>
      <c r="E17" s="49"/>
      <c r="F17" s="49"/>
      <c r="G17" s="41"/>
      <c r="H17" s="41"/>
      <c r="I17" s="42"/>
    </row>
    <row r="18" ht="18.0" customHeight="1">
      <c r="A18" s="48"/>
      <c r="B18" s="49"/>
      <c r="C18" s="49"/>
      <c r="D18" s="49"/>
      <c r="E18" s="49"/>
      <c r="F18" s="49"/>
      <c r="G18" s="41"/>
      <c r="H18" s="41"/>
      <c r="I18" s="42"/>
    </row>
    <row r="19" ht="18.0" customHeight="1">
      <c r="A19" s="79"/>
      <c r="B19" s="47">
        <v>25.0</v>
      </c>
      <c r="C19" s="47">
        <v>26.0</v>
      </c>
      <c r="D19" s="47">
        <v>27.0</v>
      </c>
      <c r="E19" s="47">
        <v>28.0</v>
      </c>
      <c r="F19" s="47">
        <v>29.0</v>
      </c>
      <c r="G19" s="37">
        <v>30.0</v>
      </c>
      <c r="H19" s="37">
        <v>31.0</v>
      </c>
      <c r="I19" s="38"/>
    </row>
    <row r="20" ht="18.0" customHeight="1">
      <c r="A20" s="35"/>
      <c r="B20" s="36"/>
      <c r="C20" s="36"/>
      <c r="D20" s="49"/>
      <c r="E20" s="49"/>
      <c r="F20" s="49"/>
      <c r="G20" s="41"/>
      <c r="H20" s="41"/>
      <c r="I20" s="42"/>
    </row>
    <row r="21" ht="18.0" customHeight="1">
      <c r="A21" s="35"/>
      <c r="B21" s="36"/>
      <c r="C21" s="36"/>
      <c r="D21" s="49"/>
      <c r="E21" s="49"/>
      <c r="F21" s="49"/>
      <c r="G21" s="41"/>
      <c r="H21" s="41"/>
      <c r="I21" s="42"/>
    </row>
    <row r="22" ht="18.0" customHeight="1">
      <c r="A22" s="35"/>
      <c r="B22" s="36"/>
      <c r="C22" s="36"/>
      <c r="D22" s="49"/>
      <c r="E22" s="49"/>
      <c r="F22" s="49"/>
      <c r="G22" s="41"/>
      <c r="H22" s="41"/>
      <c r="I22" s="42"/>
    </row>
    <row r="23" ht="15.75" customHeight="1"/>
    <row r="24" ht="15.75" customHeight="1">
      <c r="A24" s="56" t="s">
        <v>80</v>
      </c>
      <c r="B24" s="3"/>
      <c r="C24" s="3"/>
      <c r="D24" s="3"/>
      <c r="E24" s="3"/>
      <c r="F24" s="3"/>
      <c r="G24" s="4"/>
      <c r="H24" s="57"/>
      <c r="I24" s="57"/>
    </row>
    <row r="25" ht="15.75" customHeight="1">
      <c r="A25" s="18" t="s">
        <v>81</v>
      </c>
      <c r="B25" s="18" t="s">
        <v>2</v>
      </c>
      <c r="C25" s="18" t="s">
        <v>82</v>
      </c>
      <c r="D25" s="18" t="s">
        <v>83</v>
      </c>
      <c r="E25" s="18" t="s">
        <v>3</v>
      </c>
      <c r="F25" s="19" t="s">
        <v>84</v>
      </c>
      <c r="G25" s="19" t="s">
        <v>9</v>
      </c>
      <c r="H25" s="8" t="s">
        <v>85</v>
      </c>
      <c r="I25" s="8" t="s">
        <v>10</v>
      </c>
    </row>
    <row r="26" ht="15.75" customHeight="1">
      <c r="A26" s="20"/>
      <c r="B26" s="20"/>
      <c r="C26" s="20"/>
      <c r="D26" s="21"/>
      <c r="E26" s="20"/>
      <c r="F26" s="20"/>
      <c r="G26" s="20"/>
      <c r="H26" s="76"/>
      <c r="I26" s="76"/>
    </row>
    <row r="27" ht="15.75" customHeight="1">
      <c r="A27" s="20"/>
      <c r="B27" s="20"/>
      <c r="C27" s="20"/>
      <c r="D27" s="21"/>
      <c r="E27" s="20"/>
      <c r="F27" s="20"/>
      <c r="G27" s="20"/>
      <c r="H27" s="76"/>
      <c r="I27" s="76"/>
    </row>
    <row r="28" ht="15.75" customHeight="1">
      <c r="A28" s="20"/>
      <c r="B28" s="20"/>
      <c r="C28" s="20"/>
      <c r="D28" s="21"/>
      <c r="E28" s="20"/>
      <c r="F28" s="20"/>
      <c r="G28" s="20"/>
      <c r="H28" s="76"/>
      <c r="I28" s="76"/>
    </row>
    <row r="29" ht="15.75" customHeight="1">
      <c r="A29" s="20"/>
      <c r="B29" s="20"/>
      <c r="C29" s="20"/>
      <c r="D29" s="21"/>
      <c r="E29" s="20"/>
      <c r="F29" s="20"/>
      <c r="G29" s="20"/>
      <c r="H29" s="76"/>
      <c r="I29" s="76"/>
    </row>
    <row r="30" ht="15.75" customHeight="1">
      <c r="A30" s="20"/>
      <c r="B30" s="20"/>
      <c r="C30" s="20"/>
      <c r="D30" s="21"/>
      <c r="E30" s="20"/>
      <c r="F30" s="20"/>
      <c r="G30" s="20"/>
      <c r="H30" s="76"/>
      <c r="I30" s="76"/>
    </row>
    <row r="31" ht="15.75" customHeight="1">
      <c r="A31" s="20"/>
      <c r="B31" s="20"/>
      <c r="C31" s="20"/>
      <c r="D31" s="21"/>
      <c r="E31" s="20"/>
      <c r="F31" s="20"/>
      <c r="G31" s="20"/>
      <c r="H31" s="76"/>
      <c r="I31" s="76"/>
    </row>
    <row r="32" ht="15.75" customHeight="1">
      <c r="A32" s="20"/>
      <c r="B32" s="20"/>
      <c r="C32" s="20"/>
      <c r="D32" s="21"/>
      <c r="E32" s="20"/>
      <c r="F32" s="20"/>
      <c r="G32" s="20"/>
      <c r="H32" s="76"/>
      <c r="I32" s="76"/>
    </row>
    <row r="33" ht="15.75" customHeight="1">
      <c r="A33" s="20"/>
      <c r="B33" s="20"/>
      <c r="C33" s="20"/>
      <c r="D33" s="21"/>
      <c r="E33" s="20"/>
      <c r="F33" s="20"/>
      <c r="G33" s="20"/>
      <c r="H33" s="76"/>
      <c r="I33" s="76"/>
    </row>
    <row r="34" ht="15.75" customHeight="1">
      <c r="A34" s="20"/>
      <c r="B34" s="20"/>
      <c r="C34" s="20"/>
      <c r="D34" s="21"/>
      <c r="E34" s="20"/>
      <c r="F34" s="20"/>
      <c r="G34" s="20"/>
      <c r="H34" s="76"/>
      <c r="I34" s="76"/>
    </row>
    <row r="35" ht="15.75" customHeight="1">
      <c r="A35" s="20"/>
      <c r="B35" s="20"/>
      <c r="C35" s="20"/>
      <c r="D35" s="21"/>
      <c r="E35" s="20"/>
      <c r="F35" s="20"/>
      <c r="G35" s="20"/>
      <c r="H35" s="76"/>
      <c r="I35" s="76"/>
    </row>
    <row r="36" ht="15.75" customHeight="1">
      <c r="A36" s="20"/>
      <c r="B36" s="20"/>
      <c r="C36" s="20"/>
      <c r="D36" s="21"/>
      <c r="E36" s="20"/>
      <c r="F36" s="20"/>
      <c r="G36" s="20"/>
      <c r="H36" s="76"/>
      <c r="I36" s="76"/>
    </row>
    <row r="37" ht="15.75" customHeight="1">
      <c r="A37" s="20"/>
      <c r="B37" s="20"/>
      <c r="C37" s="20"/>
      <c r="D37" s="21"/>
      <c r="E37" s="20"/>
      <c r="F37" s="20"/>
      <c r="G37" s="20"/>
      <c r="H37" s="76"/>
      <c r="I37" s="76"/>
    </row>
    <row r="38" ht="15.75" customHeight="1">
      <c r="A38" s="20"/>
      <c r="B38" s="20"/>
      <c r="C38" s="20"/>
      <c r="D38" s="21"/>
      <c r="E38" s="20"/>
      <c r="F38" s="20"/>
      <c r="G38" s="20"/>
      <c r="H38" s="76"/>
      <c r="I38" s="76"/>
    </row>
    <row r="39" ht="15.75" customHeight="1">
      <c r="A39" s="20"/>
      <c r="B39" s="20"/>
      <c r="C39" s="20"/>
      <c r="D39" s="21"/>
      <c r="E39" s="20"/>
      <c r="F39" s="20"/>
      <c r="G39" s="20"/>
      <c r="H39" s="76"/>
      <c r="I39" s="76"/>
    </row>
    <row r="40" ht="15.75" customHeight="1">
      <c r="A40" s="20"/>
      <c r="B40" s="20"/>
      <c r="C40" s="20"/>
      <c r="D40" s="21"/>
      <c r="E40" s="20"/>
      <c r="F40" s="20"/>
      <c r="G40" s="20"/>
      <c r="H40" s="76"/>
      <c r="I40" s="76"/>
    </row>
    <row r="41" ht="15.75" customHeight="1">
      <c r="A41" s="20"/>
      <c r="B41" s="20"/>
      <c r="C41" s="20"/>
      <c r="D41" s="21"/>
      <c r="E41" s="20"/>
      <c r="F41" s="20"/>
      <c r="G41" s="20"/>
      <c r="H41" s="76"/>
      <c r="I41" s="76"/>
    </row>
    <row r="42" ht="15.75" customHeight="1">
      <c r="A42" s="20"/>
      <c r="B42" s="20"/>
      <c r="C42" s="20"/>
      <c r="D42" s="21"/>
      <c r="E42" s="20"/>
      <c r="F42" s="20"/>
      <c r="G42" s="20"/>
      <c r="H42" s="76"/>
      <c r="I42" s="76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5:$I$25">
    <sortState ref="A25:I25">
      <sortCondition ref="A25"/>
    </sortState>
  </autoFilter>
  <mergeCells count="3">
    <mergeCell ref="B1:H1"/>
    <mergeCell ref="K1:L1"/>
    <mergeCell ref="A24:G24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6.0"/>
    <col customWidth="1" min="10" max="10" width="2.0"/>
    <col customWidth="1" min="11" max="11" width="10.0"/>
    <col customWidth="1" min="12" max="12" width="12.0"/>
    <col customWidth="1" min="13" max="28" width="8.71"/>
  </cols>
  <sheetData>
    <row r="1" ht="39.75" customHeight="1">
      <c r="A1" s="29"/>
      <c r="B1" s="28">
        <v>46174.0</v>
      </c>
      <c r="I1" s="29"/>
      <c r="K1" s="99" t="s">
        <v>70</v>
      </c>
      <c r="L1" s="4"/>
    </row>
    <row r="2" ht="21.75" customHeight="1">
      <c r="A2" s="78"/>
      <c r="B2" s="32" t="s">
        <v>63</v>
      </c>
      <c r="C2" s="32" t="s">
        <v>64</v>
      </c>
      <c r="D2" s="32" t="s">
        <v>65</v>
      </c>
      <c r="E2" s="32" t="s">
        <v>66</v>
      </c>
      <c r="F2" s="32" t="s">
        <v>67</v>
      </c>
      <c r="G2" s="32" t="s">
        <v>68</v>
      </c>
      <c r="H2" s="32" t="s">
        <v>69</v>
      </c>
      <c r="I2" s="33"/>
      <c r="K2" s="100" t="s">
        <v>71</v>
      </c>
      <c r="L2" s="101">
        <f>SUMIF(C25:C41,"Fixed",D25:D41)</f>
        <v>0</v>
      </c>
    </row>
    <row r="3" ht="18.0" customHeight="1">
      <c r="A3" s="79"/>
      <c r="B3" s="47">
        <v>1.0</v>
      </c>
      <c r="C3" s="47">
        <v>2.0</v>
      </c>
      <c r="D3" s="47">
        <v>3.0</v>
      </c>
      <c r="E3" s="47">
        <v>4.0</v>
      </c>
      <c r="F3" s="47">
        <v>5.0</v>
      </c>
      <c r="G3" s="37">
        <v>6.0</v>
      </c>
      <c r="H3" s="37">
        <v>7.0</v>
      </c>
      <c r="I3" s="38"/>
      <c r="K3" s="102" t="s">
        <v>72</v>
      </c>
      <c r="L3" s="101">
        <f>SUMIF(C26:C42,"Extra",D26:D42)</f>
        <v>0</v>
      </c>
    </row>
    <row r="4" ht="18.0" customHeight="1">
      <c r="A4" s="48"/>
      <c r="B4" s="49"/>
      <c r="C4" s="49"/>
      <c r="D4" s="49"/>
      <c r="E4" s="49"/>
      <c r="F4" s="49"/>
      <c r="G4" s="41"/>
      <c r="H4" s="41"/>
      <c r="I4" s="42"/>
      <c r="K4" s="102" t="s">
        <v>73</v>
      </c>
      <c r="L4" s="101">
        <f>SUMIF(C26:C42,"One-off",D26:D42)</f>
        <v>0</v>
      </c>
    </row>
    <row r="5" ht="18.0" customHeight="1">
      <c r="A5" s="48"/>
      <c r="B5" s="49"/>
      <c r="C5" s="49"/>
      <c r="D5" s="49"/>
      <c r="E5" s="49"/>
      <c r="F5" s="49"/>
      <c r="G5" s="41"/>
      <c r="H5" s="41"/>
      <c r="I5" s="42"/>
      <c r="K5" s="103" t="s">
        <v>74</v>
      </c>
      <c r="L5" s="104">
        <f>SUM(L2:L4)</f>
        <v>0</v>
      </c>
    </row>
    <row r="6" ht="18.0" customHeight="1">
      <c r="A6" s="48"/>
      <c r="B6" s="49"/>
      <c r="C6" s="49"/>
      <c r="D6" s="49"/>
      <c r="E6" s="49"/>
      <c r="F6" s="49"/>
      <c r="G6" s="41"/>
      <c r="H6" s="41"/>
      <c r="I6" s="42"/>
    </row>
    <row r="7" ht="18.0" customHeight="1">
      <c r="A7" s="79"/>
      <c r="B7" s="47">
        <v>8.0</v>
      </c>
      <c r="C7" s="47">
        <v>9.0</v>
      </c>
      <c r="D7" s="47">
        <v>10.0</v>
      </c>
      <c r="E7" s="47">
        <v>11.0</v>
      </c>
      <c r="F7" s="47">
        <v>12.0</v>
      </c>
      <c r="G7" s="37">
        <v>13.0</v>
      </c>
      <c r="H7" s="37">
        <v>14.0</v>
      </c>
      <c r="I7" s="38"/>
    </row>
    <row r="8" ht="18.0" customHeight="1">
      <c r="A8" s="48"/>
      <c r="B8" s="49"/>
      <c r="C8" s="49"/>
      <c r="D8" s="49"/>
      <c r="E8" s="49"/>
      <c r="F8" s="49"/>
      <c r="G8" s="41"/>
      <c r="H8" s="41"/>
      <c r="I8" s="42"/>
    </row>
    <row r="9" ht="18.0" customHeight="1">
      <c r="A9" s="48"/>
      <c r="B9" s="49"/>
      <c r="C9" s="49"/>
      <c r="D9" s="49"/>
      <c r="E9" s="49"/>
      <c r="F9" s="49"/>
      <c r="G9" s="41"/>
      <c r="H9" s="41"/>
      <c r="I9" s="42"/>
    </row>
    <row r="10" ht="18.0" customHeight="1">
      <c r="A10" s="48"/>
      <c r="B10" s="49"/>
      <c r="C10" s="49"/>
      <c r="D10" s="49"/>
      <c r="E10" s="49"/>
      <c r="F10" s="49"/>
      <c r="G10" s="41"/>
      <c r="H10" s="41"/>
      <c r="I10" s="42"/>
    </row>
    <row r="11" ht="18.0" customHeight="1">
      <c r="A11" s="79"/>
      <c r="B11" s="47">
        <v>15.0</v>
      </c>
      <c r="C11" s="47">
        <v>16.0</v>
      </c>
      <c r="D11" s="47">
        <v>17.0</v>
      </c>
      <c r="E11" s="47">
        <v>18.0</v>
      </c>
      <c r="F11" s="47">
        <v>19.0</v>
      </c>
      <c r="G11" s="37">
        <v>20.0</v>
      </c>
      <c r="H11" s="37">
        <v>21.0</v>
      </c>
      <c r="I11" s="38"/>
    </row>
    <row r="12" ht="18.0" customHeight="1">
      <c r="A12" s="48"/>
      <c r="B12" s="49"/>
      <c r="C12" s="49"/>
      <c r="D12" s="49"/>
      <c r="E12" s="49"/>
      <c r="F12" s="49"/>
      <c r="G12" s="41"/>
      <c r="H12" s="41"/>
      <c r="I12" s="42"/>
    </row>
    <row r="13" ht="18.0" customHeight="1">
      <c r="A13" s="48"/>
      <c r="B13" s="49"/>
      <c r="C13" s="49"/>
      <c r="D13" s="49"/>
      <c r="E13" s="49"/>
      <c r="F13" s="49"/>
      <c r="G13" s="41"/>
      <c r="H13" s="41"/>
      <c r="I13" s="42"/>
    </row>
    <row r="14" ht="18.0" customHeight="1">
      <c r="A14" s="48"/>
      <c r="B14" s="49"/>
      <c r="C14" s="49"/>
      <c r="D14" s="49"/>
      <c r="E14" s="49"/>
      <c r="F14" s="49"/>
      <c r="G14" s="41"/>
      <c r="H14" s="41"/>
      <c r="I14" s="42"/>
    </row>
    <row r="15" ht="18.0" customHeight="1">
      <c r="A15" s="79"/>
      <c r="B15" s="47">
        <v>22.0</v>
      </c>
      <c r="C15" s="47">
        <v>23.0</v>
      </c>
      <c r="D15" s="47">
        <v>24.0</v>
      </c>
      <c r="E15" s="47">
        <v>25.0</v>
      </c>
      <c r="F15" s="47">
        <v>26.0</v>
      </c>
      <c r="G15" s="37">
        <v>27.0</v>
      </c>
      <c r="H15" s="37">
        <v>28.0</v>
      </c>
      <c r="I15" s="38"/>
    </row>
    <row r="16" ht="18.0" customHeight="1">
      <c r="A16" s="48"/>
      <c r="B16" s="49"/>
      <c r="C16" s="49"/>
      <c r="D16" s="49"/>
      <c r="E16" s="49"/>
      <c r="F16" s="49"/>
      <c r="G16" s="41"/>
      <c r="H16" s="41"/>
      <c r="I16" s="42"/>
    </row>
    <row r="17" ht="18.0" customHeight="1">
      <c r="A17" s="48"/>
      <c r="B17" s="49"/>
      <c r="C17" s="49"/>
      <c r="D17" s="49"/>
      <c r="E17" s="49"/>
      <c r="F17" s="49"/>
      <c r="G17" s="41"/>
      <c r="H17" s="41"/>
      <c r="I17" s="42"/>
    </row>
    <row r="18" ht="18.0" customHeight="1">
      <c r="A18" s="48"/>
      <c r="B18" s="49"/>
      <c r="C18" s="49"/>
      <c r="D18" s="49"/>
      <c r="E18" s="49"/>
      <c r="F18" s="49"/>
      <c r="G18" s="41"/>
      <c r="H18" s="41"/>
      <c r="I18" s="42"/>
    </row>
    <row r="19" ht="18.0" customHeight="1">
      <c r="A19" s="79"/>
      <c r="B19" s="47">
        <v>29.0</v>
      </c>
      <c r="C19" s="47">
        <v>30.0</v>
      </c>
      <c r="D19" s="36"/>
      <c r="E19" s="36"/>
      <c r="F19" s="36"/>
      <c r="G19" s="36"/>
      <c r="H19" s="36"/>
      <c r="I19" s="85"/>
    </row>
    <row r="20" ht="18.0" customHeight="1">
      <c r="A20" s="48"/>
      <c r="B20" s="49"/>
      <c r="C20" s="49"/>
      <c r="D20" s="36"/>
      <c r="E20" s="36"/>
      <c r="F20" s="36"/>
      <c r="G20" s="36"/>
      <c r="H20" s="36"/>
      <c r="I20" s="85"/>
    </row>
    <row r="21" ht="18.0" customHeight="1">
      <c r="A21" s="48"/>
      <c r="B21" s="49"/>
      <c r="C21" s="49"/>
      <c r="D21" s="36"/>
      <c r="E21" s="36"/>
      <c r="F21" s="36"/>
      <c r="G21" s="36"/>
      <c r="H21" s="36"/>
      <c r="I21" s="85"/>
    </row>
    <row r="22" ht="18.0" customHeight="1">
      <c r="A22" s="48"/>
      <c r="B22" s="49"/>
      <c r="C22" s="49"/>
      <c r="D22" s="36"/>
      <c r="E22" s="36"/>
      <c r="F22" s="36"/>
      <c r="G22" s="36"/>
      <c r="H22" s="36"/>
      <c r="I22" s="85"/>
    </row>
    <row r="23" ht="15.75" customHeight="1"/>
    <row r="24" ht="15.75" customHeight="1">
      <c r="A24" s="56" t="s">
        <v>80</v>
      </c>
      <c r="B24" s="3"/>
      <c r="C24" s="3"/>
      <c r="D24" s="3"/>
      <c r="E24" s="3"/>
      <c r="F24" s="3"/>
      <c r="G24" s="4"/>
      <c r="H24" s="57"/>
      <c r="I24" s="57"/>
    </row>
    <row r="25" ht="15.75" customHeight="1">
      <c r="A25" s="18" t="s">
        <v>81</v>
      </c>
      <c r="B25" s="18" t="s">
        <v>2</v>
      </c>
      <c r="C25" s="18" t="s">
        <v>82</v>
      </c>
      <c r="D25" s="18" t="s">
        <v>83</v>
      </c>
      <c r="E25" s="18" t="s">
        <v>3</v>
      </c>
      <c r="F25" s="19" t="s">
        <v>84</v>
      </c>
      <c r="G25" s="19" t="s">
        <v>9</v>
      </c>
      <c r="H25" s="8" t="s">
        <v>85</v>
      </c>
      <c r="I25" s="8" t="s">
        <v>10</v>
      </c>
    </row>
    <row r="26" ht="15.75" customHeight="1">
      <c r="A26" s="20"/>
      <c r="B26" s="20"/>
      <c r="C26" s="20"/>
      <c r="D26" s="21"/>
      <c r="E26" s="20"/>
      <c r="F26" s="20"/>
      <c r="G26" s="20"/>
      <c r="H26" s="76"/>
      <c r="I26" s="76"/>
    </row>
    <row r="27" ht="15.75" customHeight="1">
      <c r="A27" s="20"/>
      <c r="B27" s="20"/>
      <c r="C27" s="20"/>
      <c r="D27" s="21"/>
      <c r="E27" s="20"/>
      <c r="F27" s="20"/>
      <c r="G27" s="20"/>
      <c r="H27" s="76"/>
      <c r="I27" s="76"/>
    </row>
    <row r="28" ht="15.75" customHeight="1">
      <c r="A28" s="20"/>
      <c r="B28" s="20"/>
      <c r="C28" s="20"/>
      <c r="D28" s="21"/>
      <c r="E28" s="20"/>
      <c r="F28" s="20"/>
      <c r="G28" s="20"/>
      <c r="H28" s="76"/>
      <c r="I28" s="76"/>
    </row>
    <row r="29" ht="15.75" customHeight="1">
      <c r="A29" s="20"/>
      <c r="B29" s="20"/>
      <c r="C29" s="20"/>
      <c r="D29" s="21"/>
      <c r="E29" s="20"/>
      <c r="F29" s="20"/>
      <c r="G29" s="20"/>
      <c r="H29" s="76"/>
      <c r="I29" s="76"/>
    </row>
    <row r="30" ht="15.75" customHeight="1">
      <c r="A30" s="20"/>
      <c r="B30" s="20"/>
      <c r="C30" s="20"/>
      <c r="D30" s="21"/>
      <c r="E30" s="20"/>
      <c r="F30" s="20"/>
      <c r="G30" s="20"/>
      <c r="H30" s="76"/>
      <c r="I30" s="76"/>
    </row>
    <row r="31" ht="15.75" customHeight="1">
      <c r="A31" s="20"/>
      <c r="B31" s="20"/>
      <c r="C31" s="20"/>
      <c r="D31" s="21"/>
      <c r="E31" s="20"/>
      <c r="F31" s="20"/>
      <c r="G31" s="20"/>
      <c r="H31" s="76"/>
      <c r="I31" s="76"/>
    </row>
    <row r="32" ht="15.75" customHeight="1">
      <c r="A32" s="20"/>
      <c r="B32" s="20"/>
      <c r="C32" s="20"/>
      <c r="D32" s="21"/>
      <c r="E32" s="20"/>
      <c r="F32" s="20"/>
      <c r="G32" s="20"/>
      <c r="H32" s="76"/>
      <c r="I32" s="76"/>
    </row>
    <row r="33" ht="15.75" customHeight="1">
      <c r="A33" s="20"/>
      <c r="B33" s="20"/>
      <c r="C33" s="20"/>
      <c r="D33" s="21"/>
      <c r="E33" s="20"/>
      <c r="F33" s="20"/>
      <c r="G33" s="20"/>
      <c r="H33" s="76"/>
      <c r="I33" s="76"/>
    </row>
    <row r="34" ht="15.75" customHeight="1">
      <c r="A34" s="20"/>
      <c r="B34" s="20"/>
      <c r="C34" s="20"/>
      <c r="D34" s="21"/>
      <c r="E34" s="20"/>
      <c r="F34" s="20"/>
      <c r="G34" s="20"/>
      <c r="H34" s="76"/>
      <c r="I34" s="76"/>
    </row>
    <row r="35" ht="15.75" customHeight="1">
      <c r="A35" s="20"/>
      <c r="B35" s="20"/>
      <c r="C35" s="20"/>
      <c r="D35" s="21"/>
      <c r="E35" s="20"/>
      <c r="F35" s="20"/>
      <c r="G35" s="20"/>
      <c r="H35" s="76"/>
      <c r="I35" s="76"/>
    </row>
    <row r="36" ht="15.75" customHeight="1">
      <c r="A36" s="20"/>
      <c r="B36" s="20"/>
      <c r="C36" s="20"/>
      <c r="D36" s="21"/>
      <c r="E36" s="20"/>
      <c r="F36" s="20"/>
      <c r="G36" s="20"/>
      <c r="H36" s="76"/>
      <c r="I36" s="76"/>
    </row>
    <row r="37" ht="15.75" customHeight="1">
      <c r="A37" s="20"/>
      <c r="B37" s="20"/>
      <c r="C37" s="20"/>
      <c r="D37" s="21"/>
      <c r="E37" s="20"/>
      <c r="F37" s="20"/>
      <c r="G37" s="20"/>
      <c r="H37" s="76"/>
      <c r="I37" s="76"/>
    </row>
    <row r="38" ht="15.75" customHeight="1">
      <c r="A38" s="20"/>
      <c r="B38" s="20"/>
      <c r="C38" s="20"/>
      <c r="D38" s="21"/>
      <c r="E38" s="20"/>
      <c r="F38" s="20"/>
      <c r="G38" s="20"/>
      <c r="H38" s="76"/>
      <c r="I38" s="76"/>
    </row>
    <row r="39" ht="15.75" customHeight="1">
      <c r="A39" s="20"/>
      <c r="B39" s="20"/>
      <c r="C39" s="20"/>
      <c r="D39" s="21"/>
      <c r="E39" s="20"/>
      <c r="F39" s="20"/>
      <c r="G39" s="20"/>
      <c r="H39" s="76"/>
      <c r="I39" s="76"/>
    </row>
    <row r="40" ht="15.75" customHeight="1">
      <c r="A40" s="20"/>
      <c r="B40" s="20"/>
      <c r="C40" s="20"/>
      <c r="D40" s="21"/>
      <c r="E40" s="20"/>
      <c r="F40" s="20"/>
      <c r="G40" s="20"/>
      <c r="H40" s="76"/>
      <c r="I40" s="76"/>
    </row>
    <row r="41" ht="15.75" customHeight="1">
      <c r="A41" s="20"/>
      <c r="B41" s="20"/>
      <c r="C41" s="20"/>
      <c r="D41" s="21"/>
      <c r="E41" s="20"/>
      <c r="F41" s="20"/>
      <c r="G41" s="20"/>
      <c r="H41" s="76"/>
      <c r="I41" s="76"/>
    </row>
    <row r="42" ht="15.75" customHeight="1">
      <c r="A42" s="20"/>
      <c r="B42" s="20"/>
      <c r="C42" s="20"/>
      <c r="D42" s="21"/>
      <c r="E42" s="20"/>
      <c r="F42" s="20"/>
      <c r="G42" s="20"/>
      <c r="H42" s="76"/>
      <c r="I42" s="76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5:$I$25">
    <sortState ref="A25:I25">
      <sortCondition ref="A25"/>
    </sortState>
  </autoFilter>
  <mergeCells count="3">
    <mergeCell ref="B1:H1"/>
    <mergeCell ref="K1:L1"/>
    <mergeCell ref="A24:G24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6.0"/>
    <col customWidth="1" min="10" max="10" width="2.0"/>
    <col customWidth="1" min="11" max="11" width="10.0"/>
    <col customWidth="1" min="12" max="12" width="12.0"/>
    <col customWidth="1" min="13" max="28" width="8.71"/>
  </cols>
  <sheetData>
    <row r="1" ht="39.75" customHeight="1">
      <c r="A1" s="29"/>
      <c r="B1" s="28">
        <v>46204.0</v>
      </c>
      <c r="I1" s="29"/>
      <c r="K1" s="99" t="s">
        <v>70</v>
      </c>
      <c r="L1" s="4"/>
    </row>
    <row r="2" ht="21.75" customHeight="1">
      <c r="A2" s="78"/>
      <c r="B2" s="32" t="s">
        <v>63</v>
      </c>
      <c r="C2" s="32" t="s">
        <v>64</v>
      </c>
      <c r="D2" s="32" t="s">
        <v>65</v>
      </c>
      <c r="E2" s="32" t="s">
        <v>66</v>
      </c>
      <c r="F2" s="32" t="s">
        <v>67</v>
      </c>
      <c r="G2" s="32" t="s">
        <v>68</v>
      </c>
      <c r="H2" s="32" t="s">
        <v>69</v>
      </c>
      <c r="I2" s="33"/>
      <c r="K2" s="100" t="s">
        <v>71</v>
      </c>
      <c r="L2" s="101">
        <f>SUMIF(C26:C42,"Fixed",D26:D42)</f>
        <v>0</v>
      </c>
    </row>
    <row r="3" ht="18.0" customHeight="1">
      <c r="A3" s="35"/>
      <c r="B3" s="36"/>
      <c r="C3" s="36"/>
      <c r="D3" s="47">
        <v>1.0</v>
      </c>
      <c r="E3" s="47">
        <v>2.0</v>
      </c>
      <c r="F3" s="47">
        <v>3.0</v>
      </c>
      <c r="G3" s="37">
        <v>4.0</v>
      </c>
      <c r="H3" s="37">
        <v>5.0</v>
      </c>
      <c r="I3" s="38"/>
      <c r="K3" s="102" t="s">
        <v>72</v>
      </c>
      <c r="L3" s="101">
        <f>SUMIF(C26:C42,"Extra",D26:D42)</f>
        <v>0</v>
      </c>
    </row>
    <row r="4" ht="18.0" customHeight="1">
      <c r="A4" s="35"/>
      <c r="B4" s="36"/>
      <c r="C4" s="49"/>
      <c r="D4" s="49"/>
      <c r="E4" s="49"/>
      <c r="F4" s="49"/>
      <c r="G4" s="41"/>
      <c r="H4" s="41"/>
      <c r="I4" s="42"/>
      <c r="K4" s="102" t="s">
        <v>73</v>
      </c>
      <c r="L4" s="101">
        <f>SUMIF(C26:C42,"One-off",D26:D42)</f>
        <v>0</v>
      </c>
    </row>
    <row r="5" ht="18.0" customHeight="1">
      <c r="A5" s="35"/>
      <c r="B5" s="36"/>
      <c r="C5" s="49"/>
      <c r="D5" s="49"/>
      <c r="E5" s="49"/>
      <c r="F5" s="49"/>
      <c r="G5" s="41"/>
      <c r="H5" s="41"/>
      <c r="I5" s="42"/>
      <c r="K5" s="103" t="s">
        <v>74</v>
      </c>
      <c r="L5" s="104">
        <f>SUM(L2:L4)</f>
        <v>0</v>
      </c>
    </row>
    <row r="6" ht="18.0" customHeight="1">
      <c r="A6" s="35"/>
      <c r="B6" s="36"/>
      <c r="C6" s="36"/>
      <c r="D6" s="49"/>
      <c r="E6" s="49"/>
      <c r="F6" s="49"/>
      <c r="G6" s="41"/>
      <c r="H6" s="41"/>
      <c r="I6" s="42"/>
    </row>
    <row r="7" ht="18.0" customHeight="1">
      <c r="A7" s="79"/>
      <c r="B7" s="47">
        <v>6.0</v>
      </c>
      <c r="C7" s="47">
        <v>7.0</v>
      </c>
      <c r="D7" s="47">
        <v>8.0</v>
      </c>
      <c r="E7" s="47">
        <v>9.0</v>
      </c>
      <c r="F7" s="47">
        <v>10.0</v>
      </c>
      <c r="G7" s="37">
        <v>11.0</v>
      </c>
      <c r="H7" s="37">
        <v>12.0</v>
      </c>
      <c r="I7" s="38"/>
    </row>
    <row r="8" ht="18.0" customHeight="1">
      <c r="A8" s="48"/>
      <c r="B8" s="49"/>
      <c r="C8" s="49"/>
      <c r="D8" s="49"/>
      <c r="E8" s="49"/>
      <c r="F8" s="49"/>
      <c r="G8" s="41"/>
      <c r="H8" s="41"/>
      <c r="I8" s="42"/>
    </row>
    <row r="9" ht="18.0" customHeight="1">
      <c r="A9" s="48"/>
      <c r="B9" s="49"/>
      <c r="C9" s="49"/>
      <c r="D9" s="49"/>
      <c r="E9" s="49"/>
      <c r="F9" s="49"/>
      <c r="G9" s="41"/>
      <c r="H9" s="41"/>
      <c r="I9" s="42"/>
    </row>
    <row r="10" ht="18.0" customHeight="1">
      <c r="A10" s="48"/>
      <c r="B10" s="49"/>
      <c r="C10" s="49"/>
      <c r="D10" s="49"/>
      <c r="E10" s="49"/>
      <c r="F10" s="49"/>
      <c r="G10" s="41"/>
      <c r="H10" s="41"/>
      <c r="I10" s="42"/>
    </row>
    <row r="11" ht="18.0" customHeight="1">
      <c r="A11" s="79"/>
      <c r="B11" s="47">
        <v>13.0</v>
      </c>
      <c r="C11" s="47">
        <v>14.0</v>
      </c>
      <c r="D11" s="47">
        <v>15.0</v>
      </c>
      <c r="E11" s="47">
        <v>16.0</v>
      </c>
      <c r="F11" s="47">
        <v>17.0</v>
      </c>
      <c r="G11" s="37">
        <v>18.0</v>
      </c>
      <c r="H11" s="37">
        <v>19.0</v>
      </c>
      <c r="I11" s="38"/>
    </row>
    <row r="12" ht="18.0" customHeight="1">
      <c r="A12" s="48"/>
      <c r="B12" s="49"/>
      <c r="C12" s="49"/>
      <c r="D12" s="49"/>
      <c r="E12" s="49"/>
      <c r="F12" s="49"/>
      <c r="G12" s="41"/>
      <c r="H12" s="41"/>
      <c r="I12" s="42"/>
    </row>
    <row r="13" ht="18.0" customHeight="1">
      <c r="A13" s="48"/>
      <c r="B13" s="49"/>
      <c r="C13" s="49"/>
      <c r="D13" s="49"/>
      <c r="E13" s="49"/>
      <c r="F13" s="49"/>
      <c r="G13" s="41"/>
      <c r="H13" s="41"/>
      <c r="I13" s="42"/>
    </row>
    <row r="14" ht="18.0" customHeight="1">
      <c r="A14" s="48"/>
      <c r="B14" s="49"/>
      <c r="C14" s="49"/>
      <c r="D14" s="49"/>
      <c r="E14" s="49"/>
      <c r="F14" s="49"/>
      <c r="G14" s="41"/>
      <c r="H14" s="41"/>
      <c r="I14" s="42"/>
    </row>
    <row r="15" ht="18.0" customHeight="1">
      <c r="A15" s="79"/>
      <c r="B15" s="47">
        <v>20.0</v>
      </c>
      <c r="C15" s="47">
        <v>21.0</v>
      </c>
      <c r="D15" s="47">
        <v>22.0</v>
      </c>
      <c r="E15" s="47">
        <v>23.0</v>
      </c>
      <c r="F15" s="47">
        <v>24.0</v>
      </c>
      <c r="G15" s="37">
        <v>25.0</v>
      </c>
      <c r="H15" s="37">
        <v>26.0</v>
      </c>
      <c r="I15" s="38"/>
    </row>
    <row r="16" ht="18.0" customHeight="1">
      <c r="A16" s="48"/>
      <c r="B16" s="49"/>
      <c r="C16" s="49"/>
      <c r="D16" s="49"/>
      <c r="E16" s="49"/>
      <c r="F16" s="49"/>
      <c r="G16" s="36"/>
      <c r="H16" s="36"/>
      <c r="I16" s="85"/>
    </row>
    <row r="17" ht="18.0" customHeight="1">
      <c r="A17" s="48"/>
      <c r="B17" s="49"/>
      <c r="C17" s="49"/>
      <c r="D17" s="49"/>
      <c r="E17" s="49"/>
      <c r="F17" s="49"/>
      <c r="G17" s="36"/>
      <c r="H17" s="36"/>
      <c r="I17" s="85"/>
    </row>
    <row r="18" ht="18.0" customHeight="1">
      <c r="A18" s="48"/>
      <c r="B18" s="49"/>
      <c r="C18" s="49"/>
      <c r="D18" s="49"/>
      <c r="E18" s="49"/>
      <c r="F18" s="49"/>
      <c r="G18" s="36"/>
      <c r="H18" s="36"/>
      <c r="I18" s="85"/>
    </row>
    <row r="19" ht="18.0" customHeight="1">
      <c r="A19" s="79"/>
      <c r="B19" s="47">
        <v>27.0</v>
      </c>
      <c r="C19" s="47">
        <v>28.0</v>
      </c>
      <c r="D19" s="47">
        <v>29.0</v>
      </c>
      <c r="E19" s="47">
        <v>30.0</v>
      </c>
      <c r="F19" s="47">
        <v>31.0</v>
      </c>
      <c r="G19" s="36"/>
      <c r="H19" s="36"/>
      <c r="I19" s="85"/>
    </row>
    <row r="20" ht="18.0" customHeight="1">
      <c r="A20" s="48"/>
      <c r="B20" s="49"/>
      <c r="C20" s="49"/>
      <c r="D20" s="49"/>
      <c r="E20" s="49"/>
      <c r="F20" s="49"/>
      <c r="G20" s="36"/>
      <c r="H20" s="36"/>
      <c r="I20" s="85"/>
    </row>
    <row r="21" ht="18.0" customHeight="1">
      <c r="A21" s="48"/>
      <c r="B21" s="49"/>
      <c r="C21" s="49"/>
      <c r="D21" s="49"/>
      <c r="E21" s="49"/>
      <c r="F21" s="49"/>
      <c r="G21" s="36"/>
      <c r="H21" s="36"/>
      <c r="I21" s="85"/>
    </row>
    <row r="22" ht="18.0" customHeight="1">
      <c r="A22" s="48"/>
      <c r="B22" s="49"/>
      <c r="C22" s="49"/>
      <c r="D22" s="49"/>
      <c r="E22" s="49"/>
      <c r="F22" s="49"/>
      <c r="G22" s="36"/>
      <c r="H22" s="36"/>
      <c r="I22" s="85"/>
    </row>
    <row r="23" ht="15.75" customHeight="1"/>
    <row r="24" ht="15.75" customHeight="1">
      <c r="A24" s="56" t="s">
        <v>80</v>
      </c>
      <c r="B24" s="3"/>
      <c r="C24" s="3"/>
      <c r="D24" s="3"/>
      <c r="E24" s="3"/>
      <c r="F24" s="3"/>
      <c r="G24" s="4"/>
      <c r="H24" s="57"/>
      <c r="I24" s="57"/>
    </row>
    <row r="25" ht="15.75" customHeight="1">
      <c r="A25" s="18" t="s">
        <v>81</v>
      </c>
      <c r="B25" s="18" t="s">
        <v>2</v>
      </c>
      <c r="C25" s="18" t="s">
        <v>82</v>
      </c>
      <c r="D25" s="18" t="s">
        <v>83</v>
      </c>
      <c r="E25" s="18" t="s">
        <v>3</v>
      </c>
      <c r="F25" s="19" t="s">
        <v>84</v>
      </c>
      <c r="G25" s="19" t="s">
        <v>9</v>
      </c>
      <c r="H25" s="8" t="s">
        <v>85</v>
      </c>
      <c r="I25" s="8" t="s">
        <v>10</v>
      </c>
    </row>
    <row r="26" ht="15.75" customHeight="1">
      <c r="A26" s="20"/>
      <c r="B26" s="20"/>
      <c r="C26" s="20"/>
      <c r="D26" s="21"/>
      <c r="E26" s="20"/>
      <c r="F26" s="20"/>
      <c r="G26" s="20"/>
      <c r="H26" s="76"/>
      <c r="I26" s="76"/>
    </row>
    <row r="27" ht="15.75" customHeight="1">
      <c r="A27" s="20"/>
      <c r="B27" s="20"/>
      <c r="C27" s="20"/>
      <c r="D27" s="21"/>
      <c r="E27" s="20"/>
      <c r="F27" s="20"/>
      <c r="G27" s="20"/>
      <c r="H27" s="76"/>
      <c r="I27" s="76"/>
    </row>
    <row r="28" ht="15.75" customHeight="1">
      <c r="A28" s="20"/>
      <c r="B28" s="20"/>
      <c r="C28" s="20"/>
      <c r="D28" s="21"/>
      <c r="E28" s="20"/>
      <c r="F28" s="20"/>
      <c r="G28" s="20"/>
      <c r="H28" s="76"/>
      <c r="I28" s="76"/>
    </row>
    <row r="29" ht="15.75" customHeight="1">
      <c r="A29" s="20"/>
      <c r="B29" s="20"/>
      <c r="C29" s="20"/>
      <c r="D29" s="21"/>
      <c r="E29" s="20"/>
      <c r="F29" s="20"/>
      <c r="G29" s="20"/>
      <c r="H29" s="76"/>
      <c r="I29" s="76"/>
    </row>
    <row r="30" ht="15.75" customHeight="1">
      <c r="A30" s="20"/>
      <c r="B30" s="20"/>
      <c r="C30" s="20"/>
      <c r="D30" s="21"/>
      <c r="E30" s="20"/>
      <c r="F30" s="20"/>
      <c r="G30" s="20"/>
      <c r="H30" s="76"/>
      <c r="I30" s="76"/>
    </row>
    <row r="31" ht="15.75" customHeight="1">
      <c r="A31" s="20"/>
      <c r="B31" s="20"/>
      <c r="C31" s="20"/>
      <c r="D31" s="21"/>
      <c r="E31" s="20"/>
      <c r="F31" s="20"/>
      <c r="G31" s="20"/>
      <c r="H31" s="76"/>
      <c r="I31" s="76"/>
    </row>
    <row r="32" ht="15.75" customHeight="1">
      <c r="A32" s="20"/>
      <c r="B32" s="20"/>
      <c r="C32" s="20"/>
      <c r="D32" s="21"/>
      <c r="E32" s="20"/>
      <c r="F32" s="20"/>
      <c r="G32" s="20"/>
      <c r="H32" s="76"/>
      <c r="I32" s="76"/>
    </row>
    <row r="33" ht="15.75" customHeight="1">
      <c r="A33" s="20"/>
      <c r="B33" s="20"/>
      <c r="C33" s="20"/>
      <c r="D33" s="21"/>
      <c r="E33" s="20"/>
      <c r="F33" s="20"/>
      <c r="G33" s="20"/>
      <c r="H33" s="76"/>
      <c r="I33" s="76"/>
    </row>
    <row r="34" ht="15.75" customHeight="1">
      <c r="A34" s="20"/>
      <c r="B34" s="20"/>
      <c r="C34" s="20"/>
      <c r="D34" s="21"/>
      <c r="E34" s="20"/>
      <c r="F34" s="20"/>
      <c r="G34" s="20"/>
      <c r="H34" s="76"/>
      <c r="I34" s="76"/>
    </row>
    <row r="35" ht="15.75" customHeight="1">
      <c r="A35" s="20"/>
      <c r="B35" s="20"/>
      <c r="C35" s="20"/>
      <c r="D35" s="21"/>
      <c r="E35" s="20"/>
      <c r="F35" s="20"/>
      <c r="G35" s="20"/>
      <c r="H35" s="76"/>
      <c r="I35" s="76"/>
    </row>
    <row r="36" ht="15.75" customHeight="1">
      <c r="A36" s="20"/>
      <c r="B36" s="20"/>
      <c r="C36" s="20"/>
      <c r="D36" s="21"/>
      <c r="E36" s="20"/>
      <c r="F36" s="20"/>
      <c r="G36" s="20"/>
      <c r="H36" s="76"/>
      <c r="I36" s="76"/>
    </row>
    <row r="37" ht="15.75" customHeight="1">
      <c r="A37" s="20"/>
      <c r="B37" s="20"/>
      <c r="C37" s="20"/>
      <c r="D37" s="21"/>
      <c r="E37" s="20"/>
      <c r="F37" s="20"/>
      <c r="G37" s="20"/>
      <c r="H37" s="76"/>
      <c r="I37" s="76"/>
    </row>
    <row r="38" ht="15.75" customHeight="1">
      <c r="A38" s="20"/>
      <c r="B38" s="20"/>
      <c r="C38" s="20"/>
      <c r="D38" s="21"/>
      <c r="E38" s="20"/>
      <c r="F38" s="20"/>
      <c r="G38" s="20"/>
      <c r="H38" s="76"/>
      <c r="I38" s="76"/>
    </row>
    <row r="39" ht="15.75" customHeight="1">
      <c r="A39" s="20"/>
      <c r="B39" s="20"/>
      <c r="C39" s="20"/>
      <c r="D39" s="21"/>
      <c r="E39" s="20"/>
      <c r="F39" s="20"/>
      <c r="G39" s="20"/>
      <c r="H39" s="76"/>
      <c r="I39" s="76"/>
    </row>
    <row r="40" ht="15.75" customHeight="1">
      <c r="A40" s="20"/>
      <c r="B40" s="20"/>
      <c r="C40" s="20"/>
      <c r="D40" s="21"/>
      <c r="E40" s="20"/>
      <c r="F40" s="20"/>
      <c r="G40" s="20"/>
      <c r="H40" s="76"/>
      <c r="I40" s="76"/>
    </row>
    <row r="41" ht="15.75" customHeight="1">
      <c r="A41" s="20"/>
      <c r="B41" s="20"/>
      <c r="C41" s="20"/>
      <c r="D41" s="21"/>
      <c r="E41" s="20"/>
      <c r="F41" s="20"/>
      <c r="G41" s="20"/>
      <c r="H41" s="76"/>
      <c r="I41" s="76"/>
    </row>
    <row r="42" ht="15.75" customHeight="1">
      <c r="A42" s="20"/>
      <c r="B42" s="20"/>
      <c r="C42" s="20"/>
      <c r="D42" s="21"/>
      <c r="E42" s="20"/>
      <c r="F42" s="20"/>
      <c r="G42" s="20"/>
      <c r="H42" s="76"/>
      <c r="I42" s="76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5:$I$25">
    <sortState ref="A25:I25">
      <sortCondition ref="A25"/>
    </sortState>
  </autoFilter>
  <mergeCells count="3">
    <mergeCell ref="B1:H1"/>
    <mergeCell ref="K1:L1"/>
    <mergeCell ref="A24:G24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6.0"/>
    <col customWidth="1" min="7" max="9" width="17.14"/>
    <col customWidth="1" min="10" max="10" width="2.0"/>
    <col customWidth="1" min="11" max="11" width="10.0"/>
    <col customWidth="1" min="12" max="12" width="12.0"/>
    <col customWidth="1" min="13" max="28" width="8.71"/>
  </cols>
  <sheetData>
    <row r="1" ht="39.75" customHeight="1">
      <c r="A1" s="29"/>
      <c r="B1" s="28">
        <v>46235.0</v>
      </c>
      <c r="I1" s="29"/>
      <c r="K1" s="99" t="s">
        <v>70</v>
      </c>
      <c r="L1" s="4"/>
    </row>
    <row r="2" ht="21.75" customHeight="1">
      <c r="A2" s="78"/>
      <c r="B2" s="32" t="s">
        <v>63</v>
      </c>
      <c r="C2" s="32" t="s">
        <v>64</v>
      </c>
      <c r="D2" s="32" t="s">
        <v>65</v>
      </c>
      <c r="E2" s="32" t="s">
        <v>66</v>
      </c>
      <c r="F2" s="32" t="s">
        <v>67</v>
      </c>
      <c r="G2" s="32" t="s">
        <v>68</v>
      </c>
      <c r="H2" s="32" t="s">
        <v>69</v>
      </c>
      <c r="I2" s="33"/>
      <c r="K2" s="100" t="s">
        <v>71</v>
      </c>
      <c r="L2" s="101">
        <f>SUMIF(C30:C45,"Fixed",D30:D45)</f>
        <v>0</v>
      </c>
    </row>
    <row r="3" ht="18.0" customHeight="1">
      <c r="A3" s="35"/>
      <c r="B3" s="36"/>
      <c r="C3" s="36"/>
      <c r="D3" s="36"/>
      <c r="E3" s="36"/>
      <c r="F3" s="36"/>
      <c r="G3" s="37">
        <v>1.0</v>
      </c>
      <c r="H3" s="37">
        <v>2.0</v>
      </c>
      <c r="I3" s="38"/>
      <c r="K3" s="102" t="s">
        <v>72</v>
      </c>
      <c r="L3" s="101">
        <f>SUMIF(C30:C46,"Extra",D30:D46)</f>
        <v>0</v>
      </c>
    </row>
    <row r="4" ht="18.0" customHeight="1">
      <c r="A4" s="35"/>
      <c r="B4" s="36"/>
      <c r="C4" s="36"/>
      <c r="D4" s="36"/>
      <c r="E4" s="36"/>
      <c r="F4" s="36"/>
      <c r="G4" s="106"/>
      <c r="H4" s="41"/>
      <c r="I4" s="42"/>
      <c r="K4" s="102" t="s">
        <v>73</v>
      </c>
      <c r="L4" s="101">
        <f>SUMIF(C30:C46,"One-off",D30:D46)</f>
        <v>0</v>
      </c>
    </row>
    <row r="5" ht="18.0" customHeight="1">
      <c r="A5" s="35"/>
      <c r="B5" s="36"/>
      <c r="C5" s="36"/>
      <c r="D5" s="36"/>
      <c r="E5" s="36"/>
      <c r="F5" s="36"/>
      <c r="G5" s="106"/>
      <c r="H5" s="41"/>
      <c r="I5" s="42"/>
      <c r="K5" s="103" t="s">
        <v>74</v>
      </c>
      <c r="L5" s="104">
        <f>SUM(L2:L4)</f>
        <v>0</v>
      </c>
    </row>
    <row r="6" ht="18.0" customHeight="1">
      <c r="A6" s="35"/>
      <c r="B6" s="36"/>
      <c r="C6" s="36"/>
      <c r="D6" s="36"/>
      <c r="E6" s="36"/>
      <c r="F6" s="36"/>
      <c r="G6" s="41"/>
      <c r="H6" s="41"/>
      <c r="I6" s="42"/>
    </row>
    <row r="7" ht="18.0" customHeight="1">
      <c r="A7" s="79"/>
      <c r="B7" s="47">
        <v>3.0</v>
      </c>
      <c r="C7" s="47">
        <v>4.0</v>
      </c>
      <c r="D7" s="47">
        <v>5.0</v>
      </c>
      <c r="E7" s="47">
        <v>6.0</v>
      </c>
      <c r="F7" s="47">
        <v>7.0</v>
      </c>
      <c r="G7" s="37">
        <v>8.0</v>
      </c>
      <c r="H7" s="37">
        <v>9.0</v>
      </c>
      <c r="I7" s="38"/>
    </row>
    <row r="8" ht="18.0" customHeight="1">
      <c r="A8" s="48"/>
      <c r="B8" s="49"/>
      <c r="C8" s="49"/>
      <c r="D8" s="49"/>
      <c r="E8" s="49"/>
      <c r="F8" s="49"/>
      <c r="G8" s="41"/>
      <c r="H8" s="41"/>
      <c r="I8" s="42"/>
    </row>
    <row r="9" ht="18.0" customHeight="1">
      <c r="A9" s="48"/>
      <c r="B9" s="49"/>
      <c r="C9" s="49"/>
      <c r="D9" s="49"/>
      <c r="E9" s="49"/>
      <c r="F9" s="49"/>
      <c r="G9" s="41"/>
      <c r="H9" s="41"/>
      <c r="I9" s="42"/>
    </row>
    <row r="10" ht="18.0" customHeight="1">
      <c r="A10" s="48"/>
      <c r="B10" s="49"/>
      <c r="C10" s="49"/>
      <c r="D10" s="49"/>
      <c r="E10" s="49"/>
      <c r="F10" s="49"/>
      <c r="G10" s="41"/>
      <c r="H10" s="41"/>
      <c r="I10" s="42"/>
    </row>
    <row r="11" ht="18.0" customHeight="1">
      <c r="A11" s="79"/>
      <c r="B11" s="47">
        <v>10.0</v>
      </c>
      <c r="C11" s="47">
        <v>11.0</v>
      </c>
      <c r="D11" s="47">
        <v>12.0</v>
      </c>
      <c r="E11" s="47">
        <v>13.0</v>
      </c>
      <c r="F11" s="47">
        <v>14.0</v>
      </c>
      <c r="G11" s="37">
        <v>15.0</v>
      </c>
      <c r="H11" s="37">
        <v>16.0</v>
      </c>
      <c r="I11" s="38"/>
    </row>
    <row r="12" ht="18.0" customHeight="1">
      <c r="A12" s="48"/>
      <c r="B12" s="49"/>
      <c r="C12" s="49"/>
      <c r="D12" s="49"/>
      <c r="E12" s="49"/>
      <c r="F12" s="105"/>
      <c r="G12" s="41"/>
      <c r="H12" s="106"/>
      <c r="I12" s="51"/>
    </row>
    <row r="13" ht="18.0" customHeight="1">
      <c r="A13" s="48"/>
      <c r="B13" s="49"/>
      <c r="C13" s="49"/>
      <c r="D13" s="49"/>
      <c r="E13" s="49"/>
      <c r="F13" s="49"/>
      <c r="G13" s="41"/>
      <c r="H13" s="41"/>
      <c r="I13" s="42"/>
    </row>
    <row r="14" ht="18.0" customHeight="1">
      <c r="A14" s="48"/>
      <c r="B14" s="49"/>
      <c r="C14" s="49"/>
      <c r="D14" s="49"/>
      <c r="E14" s="49"/>
      <c r="F14" s="49"/>
      <c r="G14" s="41"/>
      <c r="H14" s="41"/>
      <c r="I14" s="42"/>
    </row>
    <row r="15" ht="18.0" customHeight="1">
      <c r="A15" s="79"/>
      <c r="B15" s="47">
        <v>17.0</v>
      </c>
      <c r="C15" s="47">
        <v>18.0</v>
      </c>
      <c r="D15" s="47">
        <v>19.0</v>
      </c>
      <c r="E15" s="47">
        <v>20.0</v>
      </c>
      <c r="F15" s="47">
        <v>21.0</v>
      </c>
      <c r="G15" s="37">
        <v>22.0</v>
      </c>
      <c r="H15" s="37">
        <v>23.0</v>
      </c>
      <c r="I15" s="38"/>
    </row>
    <row r="16" ht="18.0" customHeight="1">
      <c r="A16" s="48"/>
      <c r="B16" s="49"/>
      <c r="C16" s="49"/>
      <c r="D16" s="49"/>
      <c r="E16" s="49"/>
      <c r="F16" s="49"/>
      <c r="G16" s="41"/>
      <c r="H16" s="106"/>
      <c r="I16" s="51"/>
    </row>
    <row r="17" ht="18.0" customHeight="1">
      <c r="A17" s="48"/>
      <c r="B17" s="49"/>
      <c r="C17" s="49"/>
      <c r="D17" s="49"/>
      <c r="E17" s="49"/>
      <c r="F17" s="49"/>
      <c r="G17" s="41"/>
      <c r="H17" s="41"/>
      <c r="I17" s="42"/>
    </row>
    <row r="18" ht="18.0" customHeight="1">
      <c r="A18" s="48"/>
      <c r="B18" s="49"/>
      <c r="C18" s="49"/>
      <c r="D18" s="49"/>
      <c r="E18" s="49"/>
      <c r="F18" s="49"/>
      <c r="G18" s="41"/>
      <c r="H18" s="41"/>
      <c r="I18" s="42"/>
    </row>
    <row r="19" ht="18.0" customHeight="1">
      <c r="A19" s="79"/>
      <c r="B19" s="47">
        <v>24.0</v>
      </c>
      <c r="C19" s="47">
        <v>25.0</v>
      </c>
      <c r="D19" s="47">
        <v>26.0</v>
      </c>
      <c r="E19" s="47">
        <v>27.0</v>
      </c>
      <c r="F19" s="47">
        <v>28.0</v>
      </c>
      <c r="G19" s="37">
        <v>29.0</v>
      </c>
      <c r="H19" s="37">
        <v>30.0</v>
      </c>
      <c r="I19" s="38"/>
    </row>
    <row r="20" ht="18.0" customHeight="1">
      <c r="A20" s="48"/>
      <c r="B20" s="49"/>
      <c r="C20" s="49"/>
      <c r="D20" s="105"/>
      <c r="E20" s="49"/>
      <c r="F20" s="49"/>
      <c r="G20" s="41"/>
      <c r="H20" s="41"/>
      <c r="I20" s="42"/>
    </row>
    <row r="21" ht="18.0" customHeight="1">
      <c r="A21" s="48"/>
      <c r="B21" s="49"/>
      <c r="C21" s="49"/>
      <c r="D21" s="105"/>
      <c r="E21" s="49"/>
      <c r="F21" s="49"/>
      <c r="G21" s="41"/>
      <c r="H21" s="41"/>
      <c r="I21" s="42"/>
    </row>
    <row r="22" ht="18.0" customHeight="1">
      <c r="A22" s="48"/>
      <c r="B22" s="49"/>
      <c r="C22" s="49"/>
      <c r="D22" s="49"/>
      <c r="E22" s="49"/>
      <c r="F22" s="49"/>
      <c r="G22" s="41"/>
      <c r="H22" s="41"/>
      <c r="I22" s="42"/>
    </row>
    <row r="23" ht="18.0" customHeight="1">
      <c r="A23" s="79"/>
      <c r="B23" s="47">
        <v>31.0</v>
      </c>
      <c r="C23" s="36"/>
      <c r="D23" s="36"/>
      <c r="E23" s="36"/>
      <c r="F23" s="36"/>
      <c r="G23" s="36"/>
      <c r="H23" s="36"/>
      <c r="I23" s="85"/>
    </row>
    <row r="24" ht="18.0" customHeight="1">
      <c r="A24" s="48"/>
      <c r="B24" s="49"/>
      <c r="C24" s="36"/>
      <c r="D24" s="36"/>
      <c r="E24" s="36"/>
      <c r="F24" s="36"/>
      <c r="G24" s="36"/>
      <c r="H24" s="36"/>
      <c r="I24" s="85"/>
    </row>
    <row r="25" ht="18.0" customHeight="1">
      <c r="A25" s="48"/>
      <c r="B25" s="49"/>
      <c r="C25" s="36"/>
      <c r="D25" s="36"/>
      <c r="E25" s="36"/>
      <c r="F25" s="36"/>
      <c r="G25" s="36"/>
      <c r="H25" s="36"/>
      <c r="I25" s="85"/>
    </row>
    <row r="26" ht="18.0" customHeight="1">
      <c r="A26" s="48"/>
      <c r="B26" s="49"/>
      <c r="C26" s="36"/>
      <c r="D26" s="36"/>
      <c r="E26" s="36"/>
      <c r="F26" s="36"/>
      <c r="G26" s="36"/>
      <c r="H26" s="36"/>
      <c r="I26" s="85"/>
    </row>
    <row r="27" ht="15.75" customHeight="1"/>
    <row r="28" ht="15.75" customHeight="1">
      <c r="A28" s="56" t="s">
        <v>80</v>
      </c>
      <c r="B28" s="3"/>
      <c r="C28" s="3"/>
      <c r="D28" s="3"/>
      <c r="E28" s="3"/>
      <c r="F28" s="3"/>
      <c r="G28" s="4"/>
      <c r="H28" s="57"/>
      <c r="I28" s="57"/>
    </row>
    <row r="29" ht="15.75" customHeight="1">
      <c r="A29" s="18" t="s">
        <v>81</v>
      </c>
      <c r="B29" s="18" t="s">
        <v>2</v>
      </c>
      <c r="C29" s="18" t="s">
        <v>82</v>
      </c>
      <c r="D29" s="18" t="s">
        <v>83</v>
      </c>
      <c r="E29" s="18" t="s">
        <v>3</v>
      </c>
      <c r="F29" s="19" t="s">
        <v>84</v>
      </c>
      <c r="G29" s="19" t="s">
        <v>9</v>
      </c>
      <c r="H29" s="8" t="s">
        <v>85</v>
      </c>
      <c r="I29" s="8" t="s">
        <v>10</v>
      </c>
    </row>
    <row r="30" ht="15.75" customHeight="1">
      <c r="A30" s="20"/>
      <c r="B30" s="20"/>
      <c r="C30" s="20"/>
      <c r="D30" s="21"/>
      <c r="E30" s="20"/>
      <c r="F30" s="20"/>
      <c r="G30" s="20"/>
      <c r="H30" s="76"/>
      <c r="I30" s="76"/>
    </row>
    <row r="31" ht="15.75" customHeight="1">
      <c r="A31" s="20"/>
      <c r="B31" s="20"/>
      <c r="C31" s="20"/>
      <c r="D31" s="21"/>
      <c r="E31" s="20"/>
      <c r="F31" s="20"/>
      <c r="G31" s="20"/>
      <c r="H31" s="76"/>
      <c r="I31" s="76"/>
    </row>
    <row r="32" ht="15.75" customHeight="1">
      <c r="A32" s="20"/>
      <c r="B32" s="20"/>
      <c r="C32" s="20"/>
      <c r="D32" s="21"/>
      <c r="E32" s="20"/>
      <c r="F32" s="20"/>
      <c r="G32" s="20"/>
      <c r="H32" s="76"/>
      <c r="I32" s="76"/>
    </row>
    <row r="33" ht="15.75" customHeight="1">
      <c r="A33" s="20"/>
      <c r="B33" s="20"/>
      <c r="C33" s="20"/>
      <c r="D33" s="21"/>
      <c r="E33" s="20"/>
      <c r="F33" s="20"/>
      <c r="G33" s="20"/>
      <c r="H33" s="76"/>
      <c r="I33" s="76"/>
    </row>
    <row r="34" ht="15.75" customHeight="1">
      <c r="A34" s="20"/>
      <c r="B34" s="20"/>
      <c r="C34" s="20"/>
      <c r="D34" s="21"/>
      <c r="E34" s="20"/>
      <c r="F34" s="20"/>
      <c r="G34" s="20"/>
      <c r="H34" s="76"/>
      <c r="I34" s="76"/>
    </row>
    <row r="35" ht="15.75" customHeight="1">
      <c r="A35" s="20"/>
      <c r="B35" s="20"/>
      <c r="C35" s="20"/>
      <c r="D35" s="21"/>
      <c r="E35" s="20"/>
      <c r="F35" s="20"/>
      <c r="G35" s="20"/>
      <c r="H35" s="76"/>
      <c r="I35" s="76"/>
    </row>
    <row r="36" ht="15.75" customHeight="1">
      <c r="A36" s="20"/>
      <c r="B36" s="20"/>
      <c r="C36" s="20"/>
      <c r="D36" s="21"/>
      <c r="E36" s="20"/>
      <c r="F36" s="20"/>
      <c r="G36" s="20"/>
      <c r="H36" s="76"/>
      <c r="I36" s="76"/>
    </row>
    <row r="37" ht="15.75" customHeight="1">
      <c r="A37" s="20"/>
      <c r="B37" s="20"/>
      <c r="C37" s="20"/>
      <c r="D37" s="21"/>
      <c r="E37" s="20"/>
      <c r="F37" s="20"/>
      <c r="G37" s="20"/>
      <c r="H37" s="76"/>
      <c r="I37" s="76"/>
    </row>
    <row r="38" ht="15.75" customHeight="1">
      <c r="A38" s="20"/>
      <c r="B38" s="20"/>
      <c r="C38" s="20"/>
      <c r="D38" s="21"/>
      <c r="E38" s="20"/>
      <c r="F38" s="20"/>
      <c r="G38" s="20"/>
      <c r="H38" s="76"/>
      <c r="I38" s="76"/>
    </row>
    <row r="39" ht="15.75" customHeight="1">
      <c r="A39" s="20"/>
      <c r="B39" s="20"/>
      <c r="C39" s="20"/>
      <c r="D39" s="21"/>
      <c r="E39" s="20"/>
      <c r="F39" s="20"/>
      <c r="G39" s="20"/>
      <c r="H39" s="76"/>
      <c r="I39" s="76"/>
    </row>
    <row r="40" ht="15.75" customHeight="1">
      <c r="A40" s="20"/>
      <c r="B40" s="20"/>
      <c r="C40" s="20"/>
      <c r="D40" s="21"/>
      <c r="E40" s="20"/>
      <c r="F40" s="20"/>
      <c r="G40" s="20"/>
      <c r="H40" s="76"/>
      <c r="I40" s="76"/>
    </row>
    <row r="41" ht="15.75" customHeight="1">
      <c r="A41" s="20"/>
      <c r="B41" s="20"/>
      <c r="C41" s="20"/>
      <c r="D41" s="21"/>
      <c r="E41" s="20"/>
      <c r="F41" s="20"/>
      <c r="G41" s="20"/>
      <c r="H41" s="76"/>
      <c r="I41" s="76"/>
    </row>
    <row r="42" ht="15.75" customHeight="1">
      <c r="A42" s="20"/>
      <c r="B42" s="20"/>
      <c r="C42" s="20"/>
      <c r="D42" s="21"/>
      <c r="E42" s="20"/>
      <c r="F42" s="20"/>
      <c r="G42" s="20"/>
      <c r="H42" s="76"/>
      <c r="I42" s="76"/>
    </row>
    <row r="43" ht="15.75" customHeight="1">
      <c r="A43" s="20"/>
      <c r="B43" s="20"/>
      <c r="C43" s="20"/>
      <c r="D43" s="21"/>
      <c r="E43" s="20"/>
      <c r="F43" s="20"/>
      <c r="G43" s="20"/>
      <c r="H43" s="76"/>
      <c r="I43" s="76"/>
    </row>
    <row r="44" ht="15.75" customHeight="1">
      <c r="A44" s="20"/>
      <c r="B44" s="20"/>
      <c r="C44" s="20"/>
      <c r="D44" s="21"/>
      <c r="E44" s="20"/>
      <c r="F44" s="20"/>
      <c r="G44" s="20"/>
      <c r="H44" s="76"/>
      <c r="I44" s="76"/>
    </row>
    <row r="45" ht="15.75" customHeight="1">
      <c r="A45" s="20"/>
      <c r="B45" s="20"/>
      <c r="C45" s="20"/>
      <c r="D45" s="21"/>
      <c r="E45" s="20"/>
      <c r="F45" s="20"/>
      <c r="G45" s="20"/>
      <c r="H45" s="76"/>
      <c r="I45" s="76"/>
    </row>
    <row r="46" ht="15.75" customHeight="1">
      <c r="A46" s="20"/>
      <c r="B46" s="20"/>
      <c r="C46" s="20"/>
      <c r="D46" s="21"/>
      <c r="E46" s="20"/>
      <c r="F46" s="20"/>
      <c r="G46" s="20"/>
      <c r="H46" s="76"/>
      <c r="I46" s="76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9:$I$29">
    <sortState ref="A29:I29">
      <sortCondition ref="A29"/>
    </sortState>
  </autoFilter>
  <mergeCells count="3">
    <mergeCell ref="B1:H1"/>
    <mergeCell ref="K1:L1"/>
    <mergeCell ref="A28:G28"/>
  </mergeCells>
  <printOptions/>
  <pageMargins bottom="1.0" footer="0.0" header="0.0" left="0.75" right="0.75" top="1.0"/>
  <pageSetup paperSize="9" orientation="portrait"/>
  <drawing r:id="rId1"/>
</worksheet>
</file>